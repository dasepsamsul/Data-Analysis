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Lat12" sheetId="1" r:id="rId1"/>
  </sheets>
  <calcPr calcId="144525"/>
</workbook>
</file>

<file path=xl/calcChain.xml><?xml version="1.0" encoding="utf-8"?>
<calcChain xmlns="http://schemas.openxmlformats.org/spreadsheetml/2006/main">
  <c r="AC57" i="1" l="1"/>
  <c r="I57" i="1"/>
  <c r="K57" i="1" s="1"/>
  <c r="H57" i="1"/>
  <c r="L57" i="1" s="1"/>
  <c r="F57" i="1"/>
  <c r="G57" i="1" s="1"/>
  <c r="N57" i="1" s="1"/>
  <c r="E57" i="1"/>
  <c r="J57" i="1" s="1"/>
  <c r="AC56" i="1"/>
  <c r="J56" i="1"/>
  <c r="I56" i="1"/>
  <c r="H56" i="1"/>
  <c r="M56" i="1" s="1"/>
  <c r="F56" i="1"/>
  <c r="G56" i="1" s="1"/>
  <c r="N56" i="1" s="1"/>
  <c r="E56" i="1"/>
  <c r="AC55" i="1"/>
  <c r="J55" i="1"/>
  <c r="I55" i="1"/>
  <c r="H55" i="1"/>
  <c r="M55" i="1" s="1"/>
  <c r="F55" i="1"/>
  <c r="G55" i="1" s="1"/>
  <c r="N55" i="1" s="1"/>
  <c r="E55" i="1"/>
  <c r="AC54" i="1"/>
  <c r="J54" i="1"/>
  <c r="I54" i="1"/>
  <c r="H54" i="1"/>
  <c r="M54" i="1" s="1"/>
  <c r="F54" i="1"/>
  <c r="G54" i="1" s="1"/>
  <c r="N54" i="1" s="1"/>
  <c r="E54" i="1"/>
  <c r="AC53" i="1"/>
  <c r="J53" i="1"/>
  <c r="I53" i="1"/>
  <c r="H53" i="1"/>
  <c r="M53" i="1" s="1"/>
  <c r="F53" i="1"/>
  <c r="G53" i="1" s="1"/>
  <c r="N53" i="1" s="1"/>
  <c r="E53" i="1"/>
  <c r="AC52" i="1"/>
  <c r="J52" i="1"/>
  <c r="I52" i="1"/>
  <c r="H52" i="1"/>
  <c r="M52" i="1" s="1"/>
  <c r="F52" i="1"/>
  <c r="G52" i="1" s="1"/>
  <c r="N52" i="1" s="1"/>
  <c r="E52" i="1"/>
  <c r="AC51" i="1"/>
  <c r="J51" i="1"/>
  <c r="I51" i="1"/>
  <c r="H51" i="1"/>
  <c r="M51" i="1" s="1"/>
  <c r="F51" i="1"/>
  <c r="G51" i="1" s="1"/>
  <c r="N51" i="1" s="1"/>
  <c r="E51" i="1"/>
  <c r="AC50" i="1"/>
  <c r="J50" i="1"/>
  <c r="I50" i="1"/>
  <c r="H50" i="1"/>
  <c r="M50" i="1" s="1"/>
  <c r="F50" i="1"/>
  <c r="G50" i="1" s="1"/>
  <c r="N50" i="1" s="1"/>
  <c r="E50" i="1"/>
  <c r="AC49" i="1"/>
  <c r="J49" i="1"/>
  <c r="I49" i="1"/>
  <c r="H49" i="1"/>
  <c r="M49" i="1" s="1"/>
  <c r="F49" i="1"/>
  <c r="G49" i="1" s="1"/>
  <c r="N49" i="1" s="1"/>
  <c r="E49" i="1"/>
  <c r="AC48" i="1"/>
  <c r="J48" i="1"/>
  <c r="I48" i="1"/>
  <c r="H48" i="1"/>
  <c r="M48" i="1" s="1"/>
  <c r="F48" i="1"/>
  <c r="G48" i="1" s="1"/>
  <c r="N48" i="1" s="1"/>
  <c r="E48" i="1"/>
  <c r="AC17" i="1"/>
  <c r="U17" i="1"/>
  <c r="I17" i="1"/>
  <c r="H17" i="1"/>
  <c r="L17" i="1" s="1"/>
  <c r="G17" i="1"/>
  <c r="N17" i="1" s="1"/>
  <c r="F17" i="1"/>
  <c r="E17" i="1"/>
  <c r="J17" i="1" s="1"/>
  <c r="AC16" i="1"/>
  <c r="J16" i="1"/>
  <c r="I16" i="1"/>
  <c r="H16" i="1"/>
  <c r="U16" i="1" s="1"/>
  <c r="F16" i="1"/>
  <c r="G16" i="1" s="1"/>
  <c r="N16" i="1" s="1"/>
  <c r="E16" i="1"/>
  <c r="AC15" i="1"/>
  <c r="U15" i="1"/>
  <c r="M15" i="1"/>
  <c r="K15" i="1"/>
  <c r="O15" i="1" s="1"/>
  <c r="I15" i="1"/>
  <c r="H15" i="1"/>
  <c r="L15" i="1" s="1"/>
  <c r="G15" i="1"/>
  <c r="N15" i="1" s="1"/>
  <c r="F15" i="1"/>
  <c r="E15" i="1"/>
  <c r="J15" i="1" s="1"/>
  <c r="AC14" i="1"/>
  <c r="I14" i="1"/>
  <c r="H14" i="1"/>
  <c r="U14" i="1" s="1"/>
  <c r="G14" i="1"/>
  <c r="N14" i="1" s="1"/>
  <c r="F14" i="1"/>
  <c r="E14" i="1"/>
  <c r="J14" i="1" s="1"/>
  <c r="AC13" i="1"/>
  <c r="J13" i="1"/>
  <c r="I13" i="1"/>
  <c r="H13" i="1"/>
  <c r="U13" i="1" s="1"/>
  <c r="F13" i="1"/>
  <c r="G13" i="1" s="1"/>
  <c r="N13" i="1" s="1"/>
  <c r="E13" i="1"/>
  <c r="AC12" i="1"/>
  <c r="U12" i="1"/>
  <c r="M12" i="1"/>
  <c r="K12" i="1"/>
  <c r="I12" i="1"/>
  <c r="H12" i="1"/>
  <c r="L12" i="1" s="1"/>
  <c r="G12" i="1"/>
  <c r="N12" i="1" s="1"/>
  <c r="F12" i="1"/>
  <c r="E12" i="1"/>
  <c r="J12" i="1" s="1"/>
  <c r="AC11" i="1"/>
  <c r="J11" i="1"/>
  <c r="I11" i="1"/>
  <c r="H11" i="1"/>
  <c r="U11" i="1" s="1"/>
  <c r="F11" i="1"/>
  <c r="G11" i="1" s="1"/>
  <c r="N11" i="1" s="1"/>
  <c r="E11" i="1"/>
  <c r="AC10" i="1"/>
  <c r="U10" i="1"/>
  <c r="I10" i="1"/>
  <c r="H10" i="1"/>
  <c r="L10" i="1" s="1"/>
  <c r="G10" i="1"/>
  <c r="N10" i="1" s="1"/>
  <c r="F10" i="1"/>
  <c r="E10" i="1"/>
  <c r="J10" i="1" s="1"/>
  <c r="AC9" i="1"/>
  <c r="J9" i="1"/>
  <c r="I9" i="1"/>
  <c r="H9" i="1"/>
  <c r="U9" i="1" s="1"/>
  <c r="F9" i="1"/>
  <c r="G9" i="1" s="1"/>
  <c r="N9" i="1" s="1"/>
  <c r="E9" i="1"/>
  <c r="AC8" i="1"/>
  <c r="U8" i="1"/>
  <c r="M8" i="1"/>
  <c r="K8" i="1"/>
  <c r="I8" i="1"/>
  <c r="H8" i="1"/>
  <c r="L8" i="1" s="1"/>
  <c r="G8" i="1"/>
  <c r="N8" i="1" s="1"/>
  <c r="F8" i="1"/>
  <c r="E8" i="1"/>
  <c r="J8" i="1" s="1"/>
  <c r="O8" i="1" l="1"/>
  <c r="O12" i="1"/>
  <c r="R15" i="1"/>
  <c r="P15" i="1"/>
  <c r="T15" i="1" s="1"/>
  <c r="S15" i="1"/>
  <c r="Q15" i="1"/>
  <c r="L9" i="1"/>
  <c r="K10" i="1"/>
  <c r="O10" i="1" s="1"/>
  <c r="M10" i="1"/>
  <c r="L11" i="1"/>
  <c r="L13" i="1"/>
  <c r="K14" i="1"/>
  <c r="O14" i="1" s="1"/>
  <c r="M14" i="1"/>
  <c r="K9" i="1"/>
  <c r="O9" i="1" s="1"/>
  <c r="M9" i="1"/>
  <c r="K11" i="1"/>
  <c r="O11" i="1" s="1"/>
  <c r="M11" i="1"/>
  <c r="K13" i="1"/>
  <c r="O13" i="1" s="1"/>
  <c r="M13" i="1"/>
  <c r="L14" i="1"/>
  <c r="L16" i="1"/>
  <c r="K17" i="1"/>
  <c r="O17" i="1" s="1"/>
  <c r="M17" i="1"/>
  <c r="L48" i="1"/>
  <c r="L49" i="1"/>
  <c r="L50" i="1"/>
  <c r="L51" i="1"/>
  <c r="L52" i="1"/>
  <c r="L53" i="1"/>
  <c r="L54" i="1"/>
  <c r="L55" i="1"/>
  <c r="L56" i="1"/>
  <c r="O57" i="1"/>
  <c r="K16" i="1"/>
  <c r="O16" i="1" s="1"/>
  <c r="M16" i="1"/>
  <c r="K48" i="1"/>
  <c r="O48" i="1" s="1"/>
  <c r="K49" i="1"/>
  <c r="O49" i="1" s="1"/>
  <c r="K50" i="1"/>
  <c r="O50" i="1" s="1"/>
  <c r="K51" i="1"/>
  <c r="O51" i="1" s="1"/>
  <c r="K52" i="1"/>
  <c r="O52" i="1" s="1"/>
  <c r="K53" i="1"/>
  <c r="O53" i="1" s="1"/>
  <c r="K54" i="1"/>
  <c r="O54" i="1" s="1"/>
  <c r="K55" i="1"/>
  <c r="O55" i="1" s="1"/>
  <c r="K56" i="1"/>
  <c r="O56" i="1" s="1"/>
  <c r="Z56" i="1" l="1"/>
  <c r="AB56" i="1" s="1"/>
  <c r="Z54" i="1"/>
  <c r="AB54" i="1" s="1"/>
  <c r="Z52" i="1"/>
  <c r="AB52" i="1" s="1"/>
  <c r="Z50" i="1"/>
  <c r="AB50" i="1" s="1"/>
  <c r="Z48" i="1"/>
  <c r="AB48" i="1" s="1"/>
  <c r="S16" i="1"/>
  <c r="Q16" i="1"/>
  <c r="R16" i="1"/>
  <c r="P16" i="1"/>
  <c r="T16" i="1" s="1"/>
  <c r="R17" i="1"/>
  <c r="P17" i="1"/>
  <c r="T17" i="1" s="1"/>
  <c r="S17" i="1"/>
  <c r="Q17" i="1"/>
  <c r="S13" i="1"/>
  <c r="Q13" i="1"/>
  <c r="R13" i="1"/>
  <c r="P13" i="1"/>
  <c r="T13" i="1" s="1"/>
  <c r="S11" i="1"/>
  <c r="Q11" i="1"/>
  <c r="R11" i="1"/>
  <c r="P11" i="1"/>
  <c r="T11" i="1" s="1"/>
  <c r="S9" i="1"/>
  <c r="Q9" i="1"/>
  <c r="R9" i="1"/>
  <c r="P9" i="1"/>
  <c r="T9" i="1" s="1"/>
  <c r="S14" i="1"/>
  <c r="Q14" i="1"/>
  <c r="P14" i="1"/>
  <c r="R14" i="1"/>
  <c r="T14" i="1" s="1"/>
  <c r="R10" i="1"/>
  <c r="P10" i="1"/>
  <c r="T10" i="1" s="1"/>
  <c r="S10" i="1"/>
  <c r="Q10" i="1"/>
  <c r="V15" i="1"/>
  <c r="AB55" i="1"/>
  <c r="Z55" i="1"/>
  <c r="AB53" i="1"/>
  <c r="Z53" i="1"/>
  <c r="AB51" i="1"/>
  <c r="Z51" i="1"/>
  <c r="AB49" i="1"/>
  <c r="Z49" i="1"/>
  <c r="Z57" i="1"/>
  <c r="AB57" i="1" s="1"/>
  <c r="R12" i="1"/>
  <c r="P12" i="1"/>
  <c r="T12" i="1" s="1"/>
  <c r="S12" i="1"/>
  <c r="Q12" i="1"/>
  <c r="R8" i="1"/>
  <c r="P8" i="1"/>
  <c r="T8" i="1" s="1"/>
  <c r="S8" i="1"/>
  <c r="Q8" i="1"/>
  <c r="V8" i="1" l="1"/>
  <c r="V12" i="1"/>
  <c r="V10" i="1"/>
  <c r="V14" i="1"/>
  <c r="V9" i="1"/>
  <c r="V11" i="1"/>
  <c r="V13" i="1"/>
  <c r="V17" i="1"/>
  <c r="V16" i="1"/>
  <c r="X15" i="1"/>
  <c r="Y15" i="1"/>
  <c r="W15" i="1"/>
  <c r="Z15" i="1" s="1"/>
  <c r="AA15" i="1" l="1"/>
  <c r="AB15" i="1"/>
  <c r="Y16" i="1"/>
  <c r="W16" i="1"/>
  <c r="Z16" i="1"/>
  <c r="X16" i="1"/>
  <c r="Z17" i="1"/>
  <c r="X17" i="1"/>
  <c r="Y17" i="1"/>
  <c r="W17" i="1"/>
  <c r="Y13" i="1"/>
  <c r="W13" i="1"/>
  <c r="Z13" i="1"/>
  <c r="X13" i="1"/>
  <c r="Y11" i="1"/>
  <c r="W11" i="1"/>
  <c r="Z11" i="1"/>
  <c r="X11" i="1"/>
  <c r="Y9" i="1"/>
  <c r="W9" i="1"/>
  <c r="Z9" i="1"/>
  <c r="X9" i="1"/>
  <c r="Y14" i="1"/>
  <c r="W14" i="1"/>
  <c r="X14" i="1"/>
  <c r="Z14" i="1"/>
  <c r="Z10" i="1"/>
  <c r="X10" i="1"/>
  <c r="Y10" i="1"/>
  <c r="W10" i="1"/>
  <c r="X12" i="1"/>
  <c r="Y12" i="1"/>
  <c r="Z12" i="1" s="1"/>
  <c r="W12" i="1"/>
  <c r="Z8" i="1"/>
  <c r="X8" i="1"/>
  <c r="Y8" i="1"/>
  <c r="W8" i="1"/>
  <c r="AA12" i="1" l="1"/>
  <c r="AB12" i="1"/>
  <c r="AA14" i="1"/>
  <c r="AB14" i="1"/>
  <c r="AA8" i="1"/>
  <c r="AB8" i="1"/>
  <c r="AA10" i="1"/>
  <c r="AB10" i="1"/>
  <c r="AA9" i="1"/>
  <c r="AB9" i="1"/>
  <c r="AA11" i="1"/>
  <c r="AB11" i="1"/>
  <c r="AA13" i="1"/>
  <c r="AB13" i="1"/>
  <c r="AA17" i="1"/>
  <c r="AB17" i="1"/>
  <c r="AA16" i="1"/>
  <c r="AB16" i="1"/>
</calcChain>
</file>

<file path=xl/sharedStrings.xml><?xml version="1.0" encoding="utf-8"?>
<sst xmlns="http://schemas.openxmlformats.org/spreadsheetml/2006/main" count="190" uniqueCount="121">
  <si>
    <t>Latihan 12</t>
  </si>
  <si>
    <t>Daftar Gaji Pegawai</t>
  </si>
  <si>
    <t>CV. R-saver</t>
  </si>
  <si>
    <t>Bulan : Januari 2025</t>
  </si>
  <si>
    <t>No.</t>
  </si>
  <si>
    <t>Kode</t>
  </si>
  <si>
    <t>Nama Pegawai</t>
  </si>
  <si>
    <t>Gol</t>
  </si>
  <si>
    <t>Jabatan</t>
  </si>
  <si>
    <t>Thn Masuk</t>
  </si>
  <si>
    <t>Lama Kerja</t>
  </si>
  <si>
    <t>Status</t>
  </si>
  <si>
    <t>Gaji Pokok</t>
  </si>
  <si>
    <t>Tunjangan</t>
  </si>
  <si>
    <t>Komisi</t>
  </si>
  <si>
    <t>Gaji Kotor</t>
  </si>
  <si>
    <t>Deduction</t>
  </si>
  <si>
    <t>Gaji Tahunan</t>
  </si>
  <si>
    <t>PTKP</t>
  </si>
  <si>
    <t>PKP</t>
  </si>
  <si>
    <t>PKP 5%</t>
  </si>
  <si>
    <t>PKP 15%</t>
  </si>
  <si>
    <t>PKP 25%</t>
  </si>
  <si>
    <t>PPH 21</t>
  </si>
  <si>
    <t>PPH 21 Bulanan</t>
  </si>
  <si>
    <t>Gaji Bersih</t>
  </si>
  <si>
    <t>Ket Kerja</t>
  </si>
  <si>
    <t>Keluarga</t>
  </si>
  <si>
    <t>Anak</t>
  </si>
  <si>
    <t>Perum</t>
  </si>
  <si>
    <t>BPJS</t>
  </si>
  <si>
    <t>JHT</t>
  </si>
  <si>
    <t>JP</t>
  </si>
  <si>
    <t>Biaya Jabatan</t>
  </si>
  <si>
    <t>AD85TK00-K</t>
  </si>
  <si>
    <t>Paula Noviawati</t>
  </si>
  <si>
    <t>II</t>
  </si>
  <si>
    <t>PD78KW01-T</t>
  </si>
  <si>
    <t>Jatnika Santana</t>
  </si>
  <si>
    <t>IV</t>
  </si>
  <si>
    <t>KB80KW02-T</t>
  </si>
  <si>
    <t>Cris Fitriani</t>
  </si>
  <si>
    <t>III</t>
  </si>
  <si>
    <t>ST79KW03-M</t>
  </si>
  <si>
    <t>Dewi Chandra</t>
  </si>
  <si>
    <t>I</t>
  </si>
  <si>
    <t>PD81TK00-M</t>
  </si>
  <si>
    <t>Restu Putri</t>
  </si>
  <si>
    <t>AD84TK00-K</t>
  </si>
  <si>
    <t>Deni Rosdiana</t>
  </si>
  <si>
    <t>AD80KW03-M</t>
  </si>
  <si>
    <t>Putra Pratama</t>
  </si>
  <si>
    <t>ST90TK00-K</t>
  </si>
  <si>
    <t>Salsabila Zahra</t>
  </si>
  <si>
    <t>KB87KW02-T</t>
  </si>
  <si>
    <t>Dini Meilani</t>
  </si>
  <si>
    <t>ST92KW01-T</t>
  </si>
  <si>
    <t>Ade Sopian</t>
  </si>
  <si>
    <t>Tabel Tunjangan-Tunjangan</t>
  </si>
  <si>
    <t>Tabel Gaji Pokok</t>
  </si>
  <si>
    <t>AD</t>
  </si>
  <si>
    <t>Administrasi</t>
  </si>
  <si>
    <t>KB</t>
  </si>
  <si>
    <t>Ka. Bag</t>
  </si>
  <si>
    <t>PD</t>
  </si>
  <si>
    <t>Pres. Direktur</t>
  </si>
  <si>
    <t>ST</t>
  </si>
  <si>
    <t>Staff</t>
  </si>
  <si>
    <t>Ketentuan:</t>
  </si>
  <si>
    <r>
      <t>Jabatan</t>
    </r>
    <r>
      <rPr>
        <sz val="8.5"/>
        <rFont val="Book Antiqua"/>
        <family val="1"/>
      </rPr>
      <t xml:space="preserve"> (karakter 1 dan 2 KODE):</t>
    </r>
  </si>
  <si>
    <r>
      <t xml:space="preserve">Gaji Pokok: </t>
    </r>
    <r>
      <rPr>
        <sz val="8.5"/>
        <rFont val="Book Antiqua"/>
        <family val="1"/>
      </rPr>
      <t>gunakan pembacaan Tabel Gaji Pokok sesuai dengan KODE dan Gol</t>
    </r>
  </si>
  <si>
    <r>
      <t xml:space="preserve">Deduction: </t>
    </r>
    <r>
      <rPr>
        <sz val="8.5"/>
        <rFont val="Book Antiqua"/>
        <family val="1"/>
      </rPr>
      <t>BPJS: 1%*Gaji Kotor, JHT: 2%*Gaji Kotor, JP: 1%*Gaji Kotor</t>
    </r>
  </si>
  <si>
    <t>*  Jika KODE = AD maka Administrasi</t>
  </si>
  <si>
    <r>
      <t xml:space="preserve">Tunjangan Jabatan: </t>
    </r>
    <r>
      <rPr>
        <sz val="8.5"/>
        <rFont val="Book Antiqua"/>
        <family val="1"/>
      </rPr>
      <t>gunakan pembacaan Tabel Tunjangan sesuai dengan Jabatan</t>
    </r>
  </si>
  <si>
    <r>
      <rPr>
        <b/>
        <sz val="8.5"/>
        <rFont val="Book Antiqua"/>
        <family val="1"/>
      </rPr>
      <t>Biaya Jabatan=</t>
    </r>
    <r>
      <rPr>
        <sz val="8.5"/>
        <rFont val="Book Antiqua"/>
        <family val="1"/>
      </rPr>
      <t>5%*Gaji Kotor, 6000000/Tahun atau 500000/Bulan</t>
    </r>
  </si>
  <si>
    <t>*  Jika KODE = KB maka Ka. Bagian</t>
  </si>
  <si>
    <t>Tunjangan Keluarga, Anak dan Perum:</t>
  </si>
  <si>
    <r>
      <t>PKP =</t>
    </r>
    <r>
      <rPr>
        <sz val="8.5"/>
        <rFont val="Book Antiqua"/>
        <family val="1"/>
      </rPr>
      <t xml:space="preserve"> Gaji Tahunan - PTKP</t>
    </r>
  </si>
  <si>
    <t>*  Jika KODE = PD maka Pres. Dir</t>
  </si>
  <si>
    <t>*  Jika Status Kawin maka Tunjangan sesuai dengan Tabel Tunjangan * Gaji Pokok</t>
  </si>
  <si>
    <r>
      <t xml:space="preserve">Pph </t>
    </r>
    <r>
      <rPr>
        <sz val="8.5"/>
        <rFont val="Book Antiqua"/>
        <family val="1"/>
      </rPr>
      <t xml:space="preserve">= jika PKP &gt; 25000000 maka 25% * PKP </t>
    </r>
  </si>
  <si>
    <t>*  Jika KODE = ST maka Staff</t>
  </si>
  <si>
    <t>*  Jika Status Blm. Kawin maka tidak mendapat tunjangan</t>
  </si>
  <si>
    <t>jika PKP &gt;6000000 maka 15% * PKP, jika&lt;60000000 maka 5%*PKP</t>
  </si>
  <si>
    <r>
      <t xml:space="preserve">Thn. Masuk: </t>
    </r>
    <r>
      <rPr>
        <sz val="8.5"/>
        <rFont val="Book Antiqua"/>
        <family val="1"/>
      </rPr>
      <t xml:space="preserve">karakter 3 dan 4 KODE tampilkan dalam </t>
    </r>
    <r>
      <rPr>
        <b/>
        <sz val="8.5"/>
        <rFont val="Book Antiqua"/>
        <family val="1"/>
      </rPr>
      <t>format 1930</t>
    </r>
  </si>
  <si>
    <t>Komisi:</t>
  </si>
  <si>
    <r>
      <t>Gaji Bersih</t>
    </r>
    <r>
      <rPr>
        <sz val="8.5"/>
        <rFont val="Book Antiqua"/>
        <family val="1"/>
      </rPr>
      <t xml:space="preserve"> = Gaji Kotor - Pph Bulanan</t>
    </r>
  </si>
  <si>
    <r>
      <t xml:space="preserve">Lama Kerja </t>
    </r>
    <r>
      <rPr>
        <sz val="8.5"/>
        <rFont val="Book Antiqua"/>
        <family val="1"/>
      </rPr>
      <t>= Thn. Sekarang - Thn. Masuk</t>
    </r>
  </si>
  <si>
    <t>*  Jika lama kerja &gt;= 10 mendapat 25% dari Gaji Pokok</t>
  </si>
  <si>
    <r>
      <t xml:space="preserve">Keterangan </t>
    </r>
    <r>
      <rPr>
        <sz val="8.5"/>
        <rFont val="Book Antiqua"/>
        <family val="1"/>
      </rPr>
      <t>(karakter terakhir KODE):</t>
    </r>
  </si>
  <si>
    <r>
      <t xml:space="preserve">Status </t>
    </r>
    <r>
      <rPr>
        <sz val="8.5"/>
        <rFont val="Book Antiqua"/>
        <family val="1"/>
      </rPr>
      <t>(karakter 5 dan 6 KODE):</t>
    </r>
  </si>
  <si>
    <t>*  Jika lama kerja &lt; 10 tidak mendapat tunjangan</t>
  </si>
  <si>
    <t>*  Jika KODE = T maka Tetap</t>
  </si>
  <si>
    <t>*  Jika Status = TK maka Tidak Kawin</t>
  </si>
  <si>
    <r>
      <t xml:space="preserve">Gaji Kotor </t>
    </r>
    <r>
      <rPr>
        <sz val="8.5"/>
        <rFont val="Book Antiqua"/>
        <family val="1"/>
      </rPr>
      <t>= Gaji Pokok + Tunjangan2 + Komisi</t>
    </r>
  </si>
  <si>
    <t>*  Jika KODE = M maka Mutasi</t>
  </si>
  <si>
    <t>*  Jika Status = KW maka Kawin</t>
  </si>
  <si>
    <t>PTKP:</t>
  </si>
  <si>
    <t>*  Jika KODE = K maka Kontrak</t>
  </si>
  <si>
    <t>*Kawin = 58500000</t>
  </si>
  <si>
    <t>*Tidak Kawin = 54000000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</si>
  <si>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</si>
  <si>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</si>
  <si>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</si>
  <si>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</si>
  <si>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</si>
  <si>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</si>
  <si>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</si>
  <si>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</si>
  <si>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</si>
  <si>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</si>
  <si>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</si>
  <si>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</si>
  <si>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</si>
  <si>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O</t>
  </si>
  <si>
    <t>P</t>
  </si>
  <si>
    <t>Q</t>
  </si>
  <si>
    <t>R</t>
  </si>
  <si>
    <t>CV. Putri Priyanti</t>
  </si>
  <si>
    <t>Bulan : Januari 2009</t>
  </si>
  <si>
    <t>PPh(Pajak)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</si>
</sst>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Rp-421]* #,##0_-;\-[$Rp-421]* #,##0_-;_-[$Rp-421]* &quot;-&quot;_-;_-@_-"/>
    <numFmt numFmtId="165" formatCode="_(&quot;Rp&quot;* #,##0_);_(&quot;Rp&quot;* \(#,##0\);_(&quot;Rp&quot;* &quot;-&quot;_);_(@_)"/>
  </numFmts>
  <fonts count="7" x14ac:knownFonts="1">
    <font>
      <sz val="10"/>
      <name val="Bookman Old Style"/>
      <charset val="1"/>
    </font>
    <font>
      <b/>
      <sz val="10"/>
      <name val="Book Antiqua"/>
      <family val="1"/>
    </font>
    <font>
      <sz val="10"/>
      <name val="Book Antiqua"/>
      <family val="1"/>
    </font>
    <font>
      <sz val="8.5"/>
      <name val="Book Antiqua"/>
      <family val="1"/>
    </font>
    <font>
      <b/>
      <sz val="8.5"/>
      <name val="Book Antiqua"/>
      <family val="1"/>
    </font>
    <font>
      <b/>
      <sz val="8"/>
      <name val="Tahoma"/>
      <family val="2"/>
    </font>
    <font>
      <b/>
      <sz val="11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165" fontId="3" fillId="0" borderId="21" xfId="0" applyNumberFormat="1" applyFont="1" applyBorder="1" applyAlignment="1">
      <alignment vertical="center"/>
    </xf>
    <xf numFmtId="165" fontId="3" fillId="0" borderId="22" xfId="0" applyNumberFormat="1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9" fontId="3" fillId="0" borderId="21" xfId="0" applyNumberFormat="1" applyFont="1" applyBorder="1" applyAlignment="1">
      <alignment horizontal="center" vertical="center"/>
    </xf>
    <xf numFmtId="9" fontId="3" fillId="0" borderId="22" xfId="0" applyNumberFormat="1" applyFont="1" applyBorder="1" applyAlignment="1">
      <alignment horizontal="center" vertical="center"/>
    </xf>
    <xf numFmtId="9" fontId="3" fillId="0" borderId="0" xfId="0" applyNumberFormat="1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165" fontId="3" fillId="0" borderId="16" xfId="0" applyNumberFormat="1" applyFont="1" applyBorder="1" applyAlignment="1">
      <alignment vertical="center"/>
    </xf>
    <xf numFmtId="165" fontId="3" fillId="0" borderId="23" xfId="0" applyNumberFormat="1" applyFont="1" applyBorder="1" applyAlignment="1">
      <alignment vertical="center"/>
    </xf>
    <xf numFmtId="9" fontId="3" fillId="0" borderId="16" xfId="0" applyNumberFormat="1" applyFont="1" applyBorder="1" applyAlignment="1">
      <alignment horizontal="center" vertical="center"/>
    </xf>
    <xf numFmtId="9" fontId="3" fillId="0" borderId="23" xfId="0" applyNumberFormat="1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165" fontId="3" fillId="0" borderId="12" xfId="0" applyNumberFormat="1" applyFont="1" applyBorder="1" applyAlignment="1">
      <alignment vertical="center"/>
    </xf>
    <xf numFmtId="165" fontId="3" fillId="0" borderId="14" xfId="0" applyNumberFormat="1" applyFont="1" applyBorder="1" applyAlignment="1">
      <alignment vertical="center"/>
    </xf>
    <xf numFmtId="9" fontId="3" fillId="0" borderId="12" xfId="0" applyNumberFormat="1" applyFont="1" applyBorder="1" applyAlignment="1">
      <alignment horizontal="center" vertical="center"/>
    </xf>
    <xf numFmtId="9" fontId="3" fillId="0" borderId="14" xfId="0" applyNumberFormat="1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165" fontId="3" fillId="0" borderId="4" xfId="0" quotePrefix="1" applyNumberFormat="1" applyFont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65" fontId="3" fillId="0" borderId="21" xfId="0" quotePrefix="1" applyNumberFormat="1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165" fontId="3" fillId="0" borderId="13" xfId="0" quotePrefix="1" applyNumberFormat="1" applyFont="1" applyBorder="1" applyAlignment="1">
      <alignment vertical="center"/>
    </xf>
    <xf numFmtId="165" fontId="3" fillId="0" borderId="13" xfId="0" applyNumberFormat="1" applyFont="1" applyBorder="1" applyAlignment="1">
      <alignment vertical="center"/>
    </xf>
    <xf numFmtId="0" fontId="3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7"/>
  <sheetViews>
    <sheetView tabSelected="1" zoomScaleNormal="100" workbookViewId="0">
      <selection activeCell="O37" sqref="O37"/>
    </sheetView>
  </sheetViews>
  <sheetFormatPr defaultRowHeight="12.75" x14ac:dyDescent="0.3"/>
  <cols>
    <col min="1" max="1" width="3.25" style="4" customWidth="1"/>
    <col min="2" max="2" width="10.375" style="4" customWidth="1"/>
    <col min="3" max="3" width="11.25" style="4" customWidth="1"/>
    <col min="4" max="4" width="4.875" style="4" customWidth="1"/>
    <col min="5" max="5" width="12.75" style="4" bestFit="1" customWidth="1"/>
    <col min="6" max="7" width="5" style="4" customWidth="1"/>
    <col min="8" max="8" width="14.5" style="4" customWidth="1"/>
    <col min="9" max="12" width="10.375" style="4" bestFit="1" customWidth="1"/>
    <col min="13" max="14" width="9.625" style="4" bestFit="1" customWidth="1"/>
    <col min="15" max="15" width="12.375" style="4" customWidth="1"/>
    <col min="16" max="19" width="11.125" style="4" customWidth="1"/>
    <col min="20" max="20" width="11.125" style="4" bestFit="1" customWidth="1"/>
    <col min="21" max="25" width="11.125" style="4" customWidth="1"/>
    <col min="26" max="26" width="10.375" style="4" bestFit="1" customWidth="1"/>
    <col min="27" max="27" width="10.375" style="4" customWidth="1"/>
    <col min="28" max="28" width="14.25" style="4" bestFit="1" customWidth="1"/>
    <col min="29" max="29" width="6.375" style="4" customWidth="1"/>
    <col min="30" max="30" width="11.125" style="4" bestFit="1" customWidth="1"/>
    <col min="31" max="16384" width="9" style="4"/>
  </cols>
  <sheetData>
    <row r="1" spans="1:30" ht="15.75" thickBot="1" x14ac:dyDescent="0.3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</row>
    <row r="2" spans="1:30" ht="13.5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30" ht="12.95" customHeight="1" x14ac:dyDescent="0.3">
      <c r="A3" s="5" t="s">
        <v>1</v>
      </c>
      <c r="B3" s="5"/>
    </row>
    <row r="4" spans="1:30" ht="13.5" x14ac:dyDescent="0.3">
      <c r="A4" s="5" t="s">
        <v>2</v>
      </c>
      <c r="B4" s="5"/>
    </row>
    <row r="5" spans="1:30" ht="14.25" thickBot="1" x14ac:dyDescent="0.35">
      <c r="B5" s="5"/>
      <c r="AB5" s="5" t="s">
        <v>3</v>
      </c>
    </row>
    <row r="6" spans="1:30" ht="12.95" customHeight="1" thickBot="1" x14ac:dyDescent="0.35">
      <c r="A6" s="6" t="s">
        <v>4</v>
      </c>
      <c r="B6" s="7" t="s">
        <v>5</v>
      </c>
      <c r="C6" s="7" t="s">
        <v>6</v>
      </c>
      <c r="D6" s="8" t="s">
        <v>7</v>
      </c>
      <c r="E6" s="8" t="s">
        <v>8</v>
      </c>
      <c r="F6" s="7" t="s">
        <v>9</v>
      </c>
      <c r="G6" s="9" t="s">
        <v>10</v>
      </c>
      <c r="H6" s="7" t="s">
        <v>11</v>
      </c>
      <c r="I6" s="7" t="s">
        <v>12</v>
      </c>
      <c r="J6" s="10" t="s">
        <v>13</v>
      </c>
      <c r="K6" s="10"/>
      <c r="L6" s="10"/>
      <c r="M6" s="10"/>
      <c r="N6" s="8" t="s">
        <v>14</v>
      </c>
      <c r="O6" s="7" t="s">
        <v>15</v>
      </c>
      <c r="P6" s="11" t="s">
        <v>16</v>
      </c>
      <c r="Q6" s="12"/>
      <c r="R6" s="12"/>
      <c r="S6" s="13"/>
      <c r="T6" s="9" t="s">
        <v>17</v>
      </c>
      <c r="U6" s="9" t="s">
        <v>18</v>
      </c>
      <c r="V6" s="9" t="s">
        <v>19</v>
      </c>
      <c r="W6" s="9" t="s">
        <v>20</v>
      </c>
      <c r="X6" s="9" t="s">
        <v>21</v>
      </c>
      <c r="Y6" s="9" t="s">
        <v>22</v>
      </c>
      <c r="Z6" s="7" t="s">
        <v>23</v>
      </c>
      <c r="AA6" s="9" t="s">
        <v>24</v>
      </c>
      <c r="AB6" s="7" t="s">
        <v>25</v>
      </c>
      <c r="AC6" s="14" t="s">
        <v>26</v>
      </c>
    </row>
    <row r="7" spans="1:30" ht="12.95" customHeight="1" thickBot="1" x14ac:dyDescent="0.35">
      <c r="A7" s="15"/>
      <c r="B7" s="16"/>
      <c r="C7" s="16"/>
      <c r="D7" s="17"/>
      <c r="E7" s="17"/>
      <c r="F7" s="16"/>
      <c r="G7" s="18"/>
      <c r="H7" s="16"/>
      <c r="I7" s="16"/>
      <c r="J7" s="19" t="s">
        <v>8</v>
      </c>
      <c r="K7" s="19" t="s">
        <v>27</v>
      </c>
      <c r="L7" s="19" t="s">
        <v>28</v>
      </c>
      <c r="M7" s="19" t="s">
        <v>29</v>
      </c>
      <c r="N7" s="17"/>
      <c r="O7" s="16"/>
      <c r="P7" s="20" t="s">
        <v>30</v>
      </c>
      <c r="Q7" s="20" t="s">
        <v>31</v>
      </c>
      <c r="R7" s="20" t="s">
        <v>32</v>
      </c>
      <c r="S7" s="20" t="s">
        <v>33</v>
      </c>
      <c r="T7" s="18"/>
      <c r="U7" s="18"/>
      <c r="V7" s="18"/>
      <c r="W7" s="18"/>
      <c r="X7" s="18"/>
      <c r="Y7" s="18"/>
      <c r="Z7" s="16"/>
      <c r="AA7" s="18"/>
      <c r="AB7" s="16"/>
      <c r="AC7" s="21"/>
    </row>
    <row r="8" spans="1:30" ht="12.95" customHeight="1" thickBot="1" x14ac:dyDescent="0.35">
      <c r="A8" s="22">
        <v>1</v>
      </c>
      <c r="B8" s="23" t="s">
        <v>34</v>
      </c>
      <c r="C8" s="23" t="s">
        <v>35</v>
      </c>
      <c r="D8" s="24" t="s">
        <v>36</v>
      </c>
      <c r="E8" s="25" t="str">
        <f>IF(LEFT(B8,2)="AD","Administrasi",IF(LEFT(B8,2)="KB","Ka. Bag",IF(LEFT(B8,2)="PD","Pres. Direktur","Staff")))</f>
        <v>Administrasi</v>
      </c>
      <c r="F8" s="24">
        <f>1930+MID(B8,3,2)</f>
        <v>2015</v>
      </c>
      <c r="G8" s="24">
        <f>2025-F8</f>
        <v>10</v>
      </c>
      <c r="H8" s="24" t="str">
        <f t="shared" ref="H8:H17" si="0">IF(MID(B8,5,2)="KW","Kawin","Tidak Kawin")</f>
        <v>Tidak Kawin</v>
      </c>
      <c r="I8" s="26">
        <f t="shared" ref="I8:I17" si="1">VLOOKUP(LEFT(B8,2),$H$20:$L$24,IF(D8="I",2,IF(D8="II",3,IF(D8="III",4,5))),FALSE)</f>
        <v>7000000</v>
      </c>
      <c r="J8" s="26">
        <f t="shared" ref="J8:J17" si="2">VLOOKUP(E8,$B$20:$F$25,2,0)*I8</f>
        <v>210000</v>
      </c>
      <c r="K8" s="26" t="str">
        <f t="shared" ref="K8:K17" si="3">IF(H8="Kawin",3%*I8,"-")</f>
        <v>-</v>
      </c>
      <c r="L8" s="26" t="str">
        <f t="shared" ref="L8:L17" si="4">IF(H8="Kawin",2%*I8,"-")</f>
        <v>-</v>
      </c>
      <c r="M8" s="26" t="str">
        <f t="shared" ref="M8:M17" si="5">IF(H8="Kawin",I8*5%,"-")</f>
        <v>-</v>
      </c>
      <c r="N8" s="26">
        <f t="shared" ref="N8:N17" si="6">IF(G8&gt;=10,I8*25%,"-")</f>
        <v>1750000</v>
      </c>
      <c r="O8" s="26">
        <f t="shared" ref="O8:O17" si="7">SUM(I8:N8)</f>
        <v>8960000</v>
      </c>
      <c r="P8" s="26">
        <f>(1%*O8)*12</f>
        <v>1075200</v>
      </c>
      <c r="Q8" s="26">
        <f>(2%*O8)*12</f>
        <v>2150400</v>
      </c>
      <c r="R8" s="26">
        <f>(1%*O8)*12</f>
        <v>1075200</v>
      </c>
      <c r="S8" s="26">
        <f>(IF(O8*5%&lt;500000,O8*5%,500000))*12</f>
        <v>5376000</v>
      </c>
      <c r="T8" s="26">
        <f>(12*O8)-P8-Q8-R8-S8</f>
        <v>97843200</v>
      </c>
      <c r="U8" s="26">
        <f t="shared" ref="U8:U17" si="8">IF(H8="Tidak Kawin",54000000,58500000)</f>
        <v>54000000</v>
      </c>
      <c r="V8" s="26">
        <f t="shared" ref="V8:V17" si="9">T8-U8</f>
        <v>43843200</v>
      </c>
      <c r="W8" s="26">
        <f>IF(V8&gt;60000000,60000000,V8)</f>
        <v>43843200</v>
      </c>
      <c r="X8" s="26">
        <f>IF(V8&gt;250000000,190000000,IF(V8&gt;=60000000,V8-60000000,0))</f>
        <v>0</v>
      </c>
      <c r="Y8" s="26">
        <f>IF(V8&gt;250000000,V8-250000000,0)</f>
        <v>0</v>
      </c>
      <c r="Z8" s="26">
        <f>IF(V8&gt;=250000000,(25%*Y8)+(15%*X8)+(5%*W8),IF(V8&gt;=60000000,(15%*X8)+(5%*W8),5%*W8))</f>
        <v>2192160</v>
      </c>
      <c r="AA8" s="26">
        <f>Z8/12</f>
        <v>182680</v>
      </c>
      <c r="AB8" s="26">
        <f>(T8-Z8)/12</f>
        <v>7970920</v>
      </c>
      <c r="AC8" s="27" t="str">
        <f t="shared" ref="AC8:AC17" si="10">IF(RIGHT(B8,1)="K","Kontrak",IF(RIGHT(B8,1)="M","Mutasi","Tetap"))</f>
        <v>Kontrak</v>
      </c>
      <c r="AD8" s="28"/>
    </row>
    <row r="9" spans="1:30" ht="12.95" customHeight="1" thickBot="1" x14ac:dyDescent="0.35">
      <c r="A9" s="29">
        <v>2</v>
      </c>
      <c r="B9" s="30" t="s">
        <v>37</v>
      </c>
      <c r="C9" s="30" t="s">
        <v>38</v>
      </c>
      <c r="D9" s="31" t="s">
        <v>39</v>
      </c>
      <c r="E9" s="25" t="str">
        <f t="shared" ref="E9:E17" si="11">IF(LEFT(B9,2)="AD","Administrasi",IF(LEFT(B9,2)="KB","Ka. Bag",IF(LEFT(B9,2)="PD","Pres. Direktur","Staff")))</f>
        <v>Pres. Direktur</v>
      </c>
      <c r="F9" s="24">
        <f t="shared" ref="F9:F17" si="12">1930+MID(B9,3,2)</f>
        <v>2008</v>
      </c>
      <c r="G9" s="24">
        <f t="shared" ref="G9:G17" si="13">2025-F9</f>
        <v>17</v>
      </c>
      <c r="H9" s="24" t="str">
        <f t="shared" si="0"/>
        <v>Kawin</v>
      </c>
      <c r="I9" s="26">
        <f t="shared" si="1"/>
        <v>22000000</v>
      </c>
      <c r="J9" s="26">
        <f t="shared" si="2"/>
        <v>1100000</v>
      </c>
      <c r="K9" s="26">
        <f t="shared" si="3"/>
        <v>660000</v>
      </c>
      <c r="L9" s="26">
        <f t="shared" si="4"/>
        <v>440000</v>
      </c>
      <c r="M9" s="26">
        <f t="shared" si="5"/>
        <v>1100000</v>
      </c>
      <c r="N9" s="26">
        <f t="shared" si="6"/>
        <v>5500000</v>
      </c>
      <c r="O9" s="26">
        <f t="shared" si="7"/>
        <v>30800000</v>
      </c>
      <c r="P9" s="26">
        <f t="shared" ref="P9:P17" si="14">(1%*O9)*12</f>
        <v>3696000</v>
      </c>
      <c r="Q9" s="26">
        <f t="shared" ref="Q9:Q17" si="15">(2%*O9)*12</f>
        <v>7392000</v>
      </c>
      <c r="R9" s="26">
        <f t="shared" ref="R9:R17" si="16">(1%*O9)*12</f>
        <v>3696000</v>
      </c>
      <c r="S9" s="26">
        <f t="shared" ref="S9:S17" si="17">(IF(O9*5%&lt;500000,O9*5%,500000))*12</f>
        <v>6000000</v>
      </c>
      <c r="T9" s="26">
        <f t="shared" ref="T9:T17" si="18">(12*O9)-P9-Q9-R9-S9</f>
        <v>348816000</v>
      </c>
      <c r="U9" s="26">
        <f t="shared" si="8"/>
        <v>58500000</v>
      </c>
      <c r="V9" s="26">
        <f t="shared" si="9"/>
        <v>290316000</v>
      </c>
      <c r="W9" s="26">
        <f t="shared" ref="W9:W17" si="19">IF(V9&gt;60000000,60000000,V9)</f>
        <v>60000000</v>
      </c>
      <c r="X9" s="26">
        <f t="shared" ref="X9:X17" si="20">IF(V9&gt;250000000,190000000,IF(V9&gt;=60000000,V9-60000000,0))</f>
        <v>190000000</v>
      </c>
      <c r="Y9" s="26">
        <f t="shared" ref="Y9:Y17" si="21">IF(V9&gt;250000000,V9-250000000,0)</f>
        <v>40316000</v>
      </c>
      <c r="Z9" s="26">
        <f t="shared" ref="Z9:Z17" si="22">IF(V9&gt;=250000000,(25%*Y9)+(15%*X9)+(5%*W9),IF(V9&gt;=60000000,(15%*X9)+(5%*W9),5%*W9))</f>
        <v>41579000</v>
      </c>
      <c r="AA9" s="26">
        <f t="shared" ref="AA9:AA17" si="23">Z9/12</f>
        <v>3464916.6666666665</v>
      </c>
      <c r="AB9" s="26">
        <f t="shared" ref="AB9:AB17" si="24">(T9-Z9)/12</f>
        <v>25603083.333333332</v>
      </c>
      <c r="AC9" s="27" t="str">
        <f t="shared" si="10"/>
        <v>Tetap</v>
      </c>
      <c r="AD9" s="28"/>
    </row>
    <row r="10" spans="1:30" ht="12.95" customHeight="1" thickBot="1" x14ac:dyDescent="0.35">
      <c r="A10" s="29">
        <v>3</v>
      </c>
      <c r="B10" s="30" t="s">
        <v>40</v>
      </c>
      <c r="C10" s="30" t="s">
        <v>41</v>
      </c>
      <c r="D10" s="31" t="s">
        <v>42</v>
      </c>
      <c r="E10" s="25" t="str">
        <f t="shared" si="11"/>
        <v>Ka. Bag</v>
      </c>
      <c r="F10" s="24">
        <f t="shared" si="12"/>
        <v>2010</v>
      </c>
      <c r="G10" s="24">
        <f t="shared" si="13"/>
        <v>15</v>
      </c>
      <c r="H10" s="24" t="str">
        <f t="shared" si="0"/>
        <v>Kawin</v>
      </c>
      <c r="I10" s="26">
        <f t="shared" si="1"/>
        <v>12000000</v>
      </c>
      <c r="J10" s="26">
        <f t="shared" si="2"/>
        <v>480000</v>
      </c>
      <c r="K10" s="26">
        <f t="shared" si="3"/>
        <v>360000</v>
      </c>
      <c r="L10" s="26">
        <f t="shared" si="4"/>
        <v>240000</v>
      </c>
      <c r="M10" s="26">
        <f t="shared" si="5"/>
        <v>600000</v>
      </c>
      <c r="N10" s="26">
        <f t="shared" si="6"/>
        <v>3000000</v>
      </c>
      <c r="O10" s="26">
        <f t="shared" si="7"/>
        <v>16680000</v>
      </c>
      <c r="P10" s="26">
        <f t="shared" si="14"/>
        <v>2001600</v>
      </c>
      <c r="Q10" s="26">
        <f t="shared" si="15"/>
        <v>4003200</v>
      </c>
      <c r="R10" s="26">
        <f t="shared" si="16"/>
        <v>2001600</v>
      </c>
      <c r="S10" s="26">
        <f t="shared" si="17"/>
        <v>6000000</v>
      </c>
      <c r="T10" s="26">
        <f t="shared" si="18"/>
        <v>186153600</v>
      </c>
      <c r="U10" s="26">
        <f t="shared" si="8"/>
        <v>58500000</v>
      </c>
      <c r="V10" s="26">
        <f t="shared" si="9"/>
        <v>127653600</v>
      </c>
      <c r="W10" s="26">
        <f t="shared" si="19"/>
        <v>60000000</v>
      </c>
      <c r="X10" s="26">
        <f t="shared" si="20"/>
        <v>67653600</v>
      </c>
      <c r="Y10" s="26">
        <f t="shared" si="21"/>
        <v>0</v>
      </c>
      <c r="Z10" s="26">
        <f t="shared" si="22"/>
        <v>13148040</v>
      </c>
      <c r="AA10" s="26">
        <f t="shared" si="23"/>
        <v>1095670</v>
      </c>
      <c r="AB10" s="26">
        <f t="shared" si="24"/>
        <v>14417130</v>
      </c>
      <c r="AC10" s="27" t="str">
        <f t="shared" si="10"/>
        <v>Tetap</v>
      </c>
      <c r="AD10" s="28"/>
    </row>
    <row r="11" spans="1:30" ht="12.95" customHeight="1" thickBot="1" x14ac:dyDescent="0.35">
      <c r="A11" s="29">
        <v>4</v>
      </c>
      <c r="B11" s="30" t="s">
        <v>43</v>
      </c>
      <c r="C11" s="30" t="s">
        <v>44</v>
      </c>
      <c r="D11" s="31" t="s">
        <v>45</v>
      </c>
      <c r="E11" s="25" t="str">
        <f t="shared" si="11"/>
        <v>Staff</v>
      </c>
      <c r="F11" s="24">
        <f t="shared" si="12"/>
        <v>2009</v>
      </c>
      <c r="G11" s="24">
        <f t="shared" si="13"/>
        <v>16</v>
      </c>
      <c r="H11" s="24" t="str">
        <f t="shared" si="0"/>
        <v>Kawin</v>
      </c>
      <c r="I11" s="26">
        <f t="shared" si="1"/>
        <v>6500000</v>
      </c>
      <c r="J11" s="26">
        <f t="shared" si="2"/>
        <v>130000</v>
      </c>
      <c r="K11" s="26">
        <f t="shared" si="3"/>
        <v>195000</v>
      </c>
      <c r="L11" s="26">
        <f t="shared" si="4"/>
        <v>130000</v>
      </c>
      <c r="M11" s="26">
        <f t="shared" si="5"/>
        <v>325000</v>
      </c>
      <c r="N11" s="26">
        <f t="shared" si="6"/>
        <v>1625000</v>
      </c>
      <c r="O11" s="26">
        <f t="shared" si="7"/>
        <v>8905000</v>
      </c>
      <c r="P11" s="26">
        <f t="shared" si="14"/>
        <v>1068600</v>
      </c>
      <c r="Q11" s="26">
        <f t="shared" si="15"/>
        <v>2137200</v>
      </c>
      <c r="R11" s="26">
        <f t="shared" si="16"/>
        <v>1068600</v>
      </c>
      <c r="S11" s="26">
        <f t="shared" si="17"/>
        <v>5343000</v>
      </c>
      <c r="T11" s="26">
        <f t="shared" si="18"/>
        <v>97242600</v>
      </c>
      <c r="U11" s="26">
        <f t="shared" si="8"/>
        <v>58500000</v>
      </c>
      <c r="V11" s="26">
        <f t="shared" si="9"/>
        <v>38742600</v>
      </c>
      <c r="W11" s="26">
        <f t="shared" si="19"/>
        <v>38742600</v>
      </c>
      <c r="X11" s="26">
        <f t="shared" si="20"/>
        <v>0</v>
      </c>
      <c r="Y11" s="26">
        <f t="shared" si="21"/>
        <v>0</v>
      </c>
      <c r="Z11" s="26">
        <f t="shared" si="22"/>
        <v>1937130</v>
      </c>
      <c r="AA11" s="26">
        <f t="shared" si="23"/>
        <v>161427.5</v>
      </c>
      <c r="AB11" s="26">
        <f t="shared" si="24"/>
        <v>7942122.5</v>
      </c>
      <c r="AC11" s="27" t="str">
        <f t="shared" si="10"/>
        <v>Mutasi</v>
      </c>
      <c r="AD11" s="28"/>
    </row>
    <row r="12" spans="1:30" ht="12.95" customHeight="1" thickBot="1" x14ac:dyDescent="0.35">
      <c r="A12" s="29">
        <v>5</v>
      </c>
      <c r="B12" s="30" t="s">
        <v>46</v>
      </c>
      <c r="C12" s="30" t="s">
        <v>47</v>
      </c>
      <c r="D12" s="31" t="s">
        <v>36</v>
      </c>
      <c r="E12" s="25" t="str">
        <f t="shared" si="11"/>
        <v>Pres. Direktur</v>
      </c>
      <c r="F12" s="24">
        <f t="shared" si="12"/>
        <v>2011</v>
      </c>
      <c r="G12" s="24">
        <f t="shared" si="13"/>
        <v>14</v>
      </c>
      <c r="H12" s="24" t="str">
        <f t="shared" si="0"/>
        <v>Tidak Kawin</v>
      </c>
      <c r="I12" s="26">
        <f t="shared" si="1"/>
        <v>27000000</v>
      </c>
      <c r="J12" s="26">
        <f t="shared" si="2"/>
        <v>1350000</v>
      </c>
      <c r="K12" s="26" t="str">
        <f t="shared" si="3"/>
        <v>-</v>
      </c>
      <c r="L12" s="26" t="str">
        <f t="shared" si="4"/>
        <v>-</v>
      </c>
      <c r="M12" s="26" t="str">
        <f t="shared" si="5"/>
        <v>-</v>
      </c>
      <c r="N12" s="26">
        <f t="shared" si="6"/>
        <v>6750000</v>
      </c>
      <c r="O12" s="26">
        <f t="shared" si="7"/>
        <v>35100000</v>
      </c>
      <c r="P12" s="26">
        <f t="shared" si="14"/>
        <v>4212000</v>
      </c>
      <c r="Q12" s="26">
        <f t="shared" si="15"/>
        <v>8424000</v>
      </c>
      <c r="R12" s="26">
        <f t="shared" si="16"/>
        <v>4212000</v>
      </c>
      <c r="S12" s="26">
        <f t="shared" si="17"/>
        <v>6000000</v>
      </c>
      <c r="T12" s="26">
        <f t="shared" si="18"/>
        <v>398352000</v>
      </c>
      <c r="U12" s="26">
        <f t="shared" si="8"/>
        <v>54000000</v>
      </c>
      <c r="V12" s="26">
        <f t="shared" si="9"/>
        <v>344352000</v>
      </c>
      <c r="W12" s="26">
        <f t="shared" si="19"/>
        <v>60000000</v>
      </c>
      <c r="X12" s="26">
        <f t="shared" si="20"/>
        <v>190000000</v>
      </c>
      <c r="Y12" s="26">
        <f t="shared" si="21"/>
        <v>94352000</v>
      </c>
      <c r="Z12" s="26">
        <f t="shared" si="22"/>
        <v>55088000</v>
      </c>
      <c r="AA12" s="26">
        <f t="shared" si="23"/>
        <v>4590666.666666667</v>
      </c>
      <c r="AB12" s="26">
        <f t="shared" si="24"/>
        <v>28605333.333333332</v>
      </c>
      <c r="AC12" s="27" t="str">
        <f t="shared" si="10"/>
        <v>Mutasi</v>
      </c>
      <c r="AD12" s="28"/>
    </row>
    <row r="13" spans="1:30" ht="12.95" customHeight="1" thickBot="1" x14ac:dyDescent="0.35">
      <c r="A13" s="29">
        <v>6</v>
      </c>
      <c r="B13" s="30" t="s">
        <v>48</v>
      </c>
      <c r="C13" s="30" t="s">
        <v>49</v>
      </c>
      <c r="D13" s="31" t="s">
        <v>45</v>
      </c>
      <c r="E13" s="25" t="str">
        <f t="shared" si="11"/>
        <v>Administrasi</v>
      </c>
      <c r="F13" s="24">
        <f t="shared" si="12"/>
        <v>2014</v>
      </c>
      <c r="G13" s="24">
        <f t="shared" si="13"/>
        <v>11</v>
      </c>
      <c r="H13" s="24" t="str">
        <f t="shared" si="0"/>
        <v>Tidak Kawin</v>
      </c>
      <c r="I13" s="26">
        <f t="shared" si="1"/>
        <v>8000000</v>
      </c>
      <c r="J13" s="26">
        <f t="shared" si="2"/>
        <v>240000</v>
      </c>
      <c r="K13" s="26" t="str">
        <f t="shared" si="3"/>
        <v>-</v>
      </c>
      <c r="L13" s="26" t="str">
        <f t="shared" si="4"/>
        <v>-</v>
      </c>
      <c r="M13" s="26" t="str">
        <f t="shared" si="5"/>
        <v>-</v>
      </c>
      <c r="N13" s="26">
        <f t="shared" si="6"/>
        <v>2000000</v>
      </c>
      <c r="O13" s="26">
        <f t="shared" si="7"/>
        <v>10240000</v>
      </c>
      <c r="P13" s="26">
        <f t="shared" si="14"/>
        <v>1228800</v>
      </c>
      <c r="Q13" s="26">
        <f t="shared" si="15"/>
        <v>2457600</v>
      </c>
      <c r="R13" s="26">
        <f t="shared" si="16"/>
        <v>1228800</v>
      </c>
      <c r="S13" s="26">
        <f t="shared" si="17"/>
        <v>6000000</v>
      </c>
      <c r="T13" s="26">
        <f t="shared" si="18"/>
        <v>111964800</v>
      </c>
      <c r="U13" s="26">
        <f t="shared" si="8"/>
        <v>54000000</v>
      </c>
      <c r="V13" s="26">
        <f t="shared" si="9"/>
        <v>57964800</v>
      </c>
      <c r="W13" s="26">
        <f t="shared" si="19"/>
        <v>57964800</v>
      </c>
      <c r="X13" s="26">
        <f t="shared" si="20"/>
        <v>0</v>
      </c>
      <c r="Y13" s="26">
        <f t="shared" si="21"/>
        <v>0</v>
      </c>
      <c r="Z13" s="26">
        <f t="shared" si="22"/>
        <v>2898240</v>
      </c>
      <c r="AA13" s="26">
        <f t="shared" si="23"/>
        <v>241520</v>
      </c>
      <c r="AB13" s="26">
        <f t="shared" si="24"/>
        <v>9088880</v>
      </c>
      <c r="AC13" s="27" t="str">
        <f t="shared" si="10"/>
        <v>Kontrak</v>
      </c>
      <c r="AD13" s="28"/>
    </row>
    <row r="14" spans="1:30" ht="12.95" customHeight="1" thickBot="1" x14ac:dyDescent="0.35">
      <c r="A14" s="29">
        <v>7</v>
      </c>
      <c r="B14" s="30" t="s">
        <v>50</v>
      </c>
      <c r="C14" s="30" t="s">
        <v>51</v>
      </c>
      <c r="D14" s="31" t="s">
        <v>39</v>
      </c>
      <c r="E14" s="25" t="str">
        <f t="shared" si="11"/>
        <v>Administrasi</v>
      </c>
      <c r="F14" s="24">
        <f t="shared" si="12"/>
        <v>2010</v>
      </c>
      <c r="G14" s="24">
        <f t="shared" si="13"/>
        <v>15</v>
      </c>
      <c r="H14" s="24" t="str">
        <f t="shared" si="0"/>
        <v>Kawin</v>
      </c>
      <c r="I14" s="26">
        <f t="shared" si="1"/>
        <v>5000000</v>
      </c>
      <c r="J14" s="26">
        <f t="shared" si="2"/>
        <v>150000</v>
      </c>
      <c r="K14" s="26">
        <f t="shared" si="3"/>
        <v>150000</v>
      </c>
      <c r="L14" s="26">
        <f t="shared" si="4"/>
        <v>100000</v>
      </c>
      <c r="M14" s="26">
        <f t="shared" si="5"/>
        <v>250000</v>
      </c>
      <c r="N14" s="26">
        <f t="shared" si="6"/>
        <v>1250000</v>
      </c>
      <c r="O14" s="26">
        <f t="shared" si="7"/>
        <v>6900000</v>
      </c>
      <c r="P14" s="26">
        <f t="shared" si="14"/>
        <v>828000</v>
      </c>
      <c r="Q14" s="26">
        <f t="shared" si="15"/>
        <v>1656000</v>
      </c>
      <c r="R14" s="26">
        <f t="shared" si="16"/>
        <v>828000</v>
      </c>
      <c r="S14" s="26">
        <f t="shared" si="17"/>
        <v>4140000</v>
      </c>
      <c r="T14" s="26">
        <f t="shared" si="18"/>
        <v>75348000</v>
      </c>
      <c r="U14" s="26">
        <f t="shared" si="8"/>
        <v>58500000</v>
      </c>
      <c r="V14" s="26">
        <f t="shared" si="9"/>
        <v>16848000</v>
      </c>
      <c r="W14" s="26">
        <f t="shared" si="19"/>
        <v>16848000</v>
      </c>
      <c r="X14" s="26">
        <f t="shared" si="20"/>
        <v>0</v>
      </c>
      <c r="Y14" s="26">
        <f t="shared" si="21"/>
        <v>0</v>
      </c>
      <c r="Z14" s="26">
        <f t="shared" si="22"/>
        <v>842400</v>
      </c>
      <c r="AA14" s="26">
        <f t="shared" si="23"/>
        <v>70200</v>
      </c>
      <c r="AB14" s="26">
        <f t="shared" si="24"/>
        <v>6208800</v>
      </c>
      <c r="AC14" s="27" t="str">
        <f t="shared" si="10"/>
        <v>Mutasi</v>
      </c>
      <c r="AD14" s="28"/>
    </row>
    <row r="15" spans="1:30" ht="12.95" customHeight="1" thickBot="1" x14ac:dyDescent="0.35">
      <c r="A15" s="29">
        <v>8</v>
      </c>
      <c r="B15" s="30" t="s">
        <v>52</v>
      </c>
      <c r="C15" s="30" t="s">
        <v>53</v>
      </c>
      <c r="D15" s="31" t="s">
        <v>42</v>
      </c>
      <c r="E15" s="25" t="str">
        <f t="shared" si="11"/>
        <v>Staff</v>
      </c>
      <c r="F15" s="24">
        <f t="shared" si="12"/>
        <v>2020</v>
      </c>
      <c r="G15" s="24">
        <f t="shared" si="13"/>
        <v>5</v>
      </c>
      <c r="H15" s="24" t="str">
        <f t="shared" si="0"/>
        <v>Tidak Kawin</v>
      </c>
      <c r="I15" s="26">
        <f t="shared" si="1"/>
        <v>5500000</v>
      </c>
      <c r="J15" s="26">
        <f t="shared" si="2"/>
        <v>110000</v>
      </c>
      <c r="K15" s="26" t="str">
        <f t="shared" si="3"/>
        <v>-</v>
      </c>
      <c r="L15" s="26" t="str">
        <f t="shared" si="4"/>
        <v>-</v>
      </c>
      <c r="M15" s="26" t="str">
        <f t="shared" si="5"/>
        <v>-</v>
      </c>
      <c r="N15" s="26" t="str">
        <f t="shared" si="6"/>
        <v>-</v>
      </c>
      <c r="O15" s="26">
        <f t="shared" si="7"/>
        <v>5610000</v>
      </c>
      <c r="P15" s="26">
        <f t="shared" si="14"/>
        <v>673200</v>
      </c>
      <c r="Q15" s="26">
        <f t="shared" si="15"/>
        <v>1346400</v>
      </c>
      <c r="R15" s="26">
        <f t="shared" si="16"/>
        <v>673200</v>
      </c>
      <c r="S15" s="26">
        <f t="shared" si="17"/>
        <v>3366000</v>
      </c>
      <c r="T15" s="26">
        <f t="shared" si="18"/>
        <v>61261200</v>
      </c>
      <c r="U15" s="26">
        <f t="shared" si="8"/>
        <v>54000000</v>
      </c>
      <c r="V15" s="26">
        <f t="shared" si="9"/>
        <v>7261200</v>
      </c>
      <c r="W15" s="26">
        <f t="shared" si="19"/>
        <v>7261200</v>
      </c>
      <c r="X15" s="26">
        <f t="shared" si="20"/>
        <v>0</v>
      </c>
      <c r="Y15" s="26">
        <f t="shared" si="21"/>
        <v>0</v>
      </c>
      <c r="Z15" s="26">
        <f t="shared" si="22"/>
        <v>363060</v>
      </c>
      <c r="AA15" s="26">
        <f t="shared" si="23"/>
        <v>30255</v>
      </c>
      <c r="AB15" s="26">
        <f t="shared" si="24"/>
        <v>5074845</v>
      </c>
      <c r="AC15" s="27" t="str">
        <f t="shared" si="10"/>
        <v>Kontrak</v>
      </c>
      <c r="AD15" s="28"/>
    </row>
    <row r="16" spans="1:30" ht="12.95" customHeight="1" thickBot="1" x14ac:dyDescent="0.35">
      <c r="A16" s="29">
        <v>9</v>
      </c>
      <c r="B16" s="30" t="s">
        <v>54</v>
      </c>
      <c r="C16" s="30" t="s">
        <v>55</v>
      </c>
      <c r="D16" s="31" t="s">
        <v>36</v>
      </c>
      <c r="E16" s="25" t="str">
        <f t="shared" si="11"/>
        <v>Ka. Bag</v>
      </c>
      <c r="F16" s="24">
        <f t="shared" si="12"/>
        <v>2017</v>
      </c>
      <c r="G16" s="24">
        <f t="shared" si="13"/>
        <v>8</v>
      </c>
      <c r="H16" s="24" t="str">
        <f t="shared" si="0"/>
        <v>Kawin</v>
      </c>
      <c r="I16" s="26">
        <f t="shared" si="1"/>
        <v>15000000</v>
      </c>
      <c r="J16" s="26">
        <f t="shared" si="2"/>
        <v>600000</v>
      </c>
      <c r="K16" s="26">
        <f t="shared" si="3"/>
        <v>450000</v>
      </c>
      <c r="L16" s="26">
        <f t="shared" si="4"/>
        <v>300000</v>
      </c>
      <c r="M16" s="26">
        <f t="shared" si="5"/>
        <v>750000</v>
      </c>
      <c r="N16" s="26" t="str">
        <f t="shared" si="6"/>
        <v>-</v>
      </c>
      <c r="O16" s="26">
        <f t="shared" si="7"/>
        <v>17100000</v>
      </c>
      <c r="P16" s="26">
        <f t="shared" si="14"/>
        <v>2052000</v>
      </c>
      <c r="Q16" s="26">
        <f t="shared" si="15"/>
        <v>4104000</v>
      </c>
      <c r="R16" s="26">
        <f t="shared" si="16"/>
        <v>2052000</v>
      </c>
      <c r="S16" s="26">
        <f t="shared" si="17"/>
        <v>6000000</v>
      </c>
      <c r="T16" s="26">
        <f t="shared" si="18"/>
        <v>190992000</v>
      </c>
      <c r="U16" s="26">
        <f t="shared" si="8"/>
        <v>58500000</v>
      </c>
      <c r="V16" s="26">
        <f t="shared" si="9"/>
        <v>132492000</v>
      </c>
      <c r="W16" s="26">
        <f t="shared" si="19"/>
        <v>60000000</v>
      </c>
      <c r="X16" s="26">
        <f t="shared" si="20"/>
        <v>72492000</v>
      </c>
      <c r="Y16" s="26">
        <f t="shared" si="21"/>
        <v>0</v>
      </c>
      <c r="Z16" s="26">
        <f t="shared" si="22"/>
        <v>13873800</v>
      </c>
      <c r="AA16" s="26">
        <f t="shared" si="23"/>
        <v>1156150</v>
      </c>
      <c r="AB16" s="26">
        <f t="shared" si="24"/>
        <v>14759850</v>
      </c>
      <c r="AC16" s="27" t="str">
        <f t="shared" si="10"/>
        <v>Tetap</v>
      </c>
      <c r="AD16" s="28"/>
    </row>
    <row r="17" spans="1:30" ht="15.75" thickBot="1" x14ac:dyDescent="0.35">
      <c r="A17" s="32">
        <v>10</v>
      </c>
      <c r="B17" s="33" t="s">
        <v>56</v>
      </c>
      <c r="C17" s="33" t="s">
        <v>57</v>
      </c>
      <c r="D17" s="34" t="s">
        <v>42</v>
      </c>
      <c r="E17" s="25" t="str">
        <f t="shared" si="11"/>
        <v>Staff</v>
      </c>
      <c r="F17" s="24">
        <f t="shared" si="12"/>
        <v>2022</v>
      </c>
      <c r="G17" s="24">
        <f t="shared" si="13"/>
        <v>3</v>
      </c>
      <c r="H17" s="24" t="str">
        <f t="shared" si="0"/>
        <v>Kawin</v>
      </c>
      <c r="I17" s="26">
        <f t="shared" si="1"/>
        <v>5500000</v>
      </c>
      <c r="J17" s="26">
        <f t="shared" si="2"/>
        <v>110000</v>
      </c>
      <c r="K17" s="26">
        <f t="shared" si="3"/>
        <v>165000</v>
      </c>
      <c r="L17" s="26">
        <f t="shared" si="4"/>
        <v>110000</v>
      </c>
      <c r="M17" s="26">
        <f t="shared" si="5"/>
        <v>275000</v>
      </c>
      <c r="N17" s="26" t="str">
        <f t="shared" si="6"/>
        <v>-</v>
      </c>
      <c r="O17" s="26">
        <f t="shared" si="7"/>
        <v>6160000</v>
      </c>
      <c r="P17" s="26">
        <f t="shared" si="14"/>
        <v>739200</v>
      </c>
      <c r="Q17" s="26">
        <f t="shared" si="15"/>
        <v>1478400</v>
      </c>
      <c r="R17" s="26">
        <f t="shared" si="16"/>
        <v>739200</v>
      </c>
      <c r="S17" s="26">
        <f t="shared" si="17"/>
        <v>3696000</v>
      </c>
      <c r="T17" s="26">
        <f t="shared" si="18"/>
        <v>67267200</v>
      </c>
      <c r="U17" s="26">
        <f t="shared" si="8"/>
        <v>58500000</v>
      </c>
      <c r="V17" s="26">
        <f t="shared" si="9"/>
        <v>8767200</v>
      </c>
      <c r="W17" s="26">
        <f t="shared" si="19"/>
        <v>8767200</v>
      </c>
      <c r="X17" s="26">
        <f t="shared" si="20"/>
        <v>0</v>
      </c>
      <c r="Y17" s="26">
        <f t="shared" si="21"/>
        <v>0</v>
      </c>
      <c r="Z17" s="26">
        <f t="shared" si="22"/>
        <v>438360</v>
      </c>
      <c r="AA17" s="26">
        <f t="shared" si="23"/>
        <v>36530</v>
      </c>
      <c r="AB17" s="26">
        <f t="shared" si="24"/>
        <v>5569070</v>
      </c>
      <c r="AC17" s="27" t="str">
        <f t="shared" si="10"/>
        <v>Tetap</v>
      </c>
      <c r="AD17" s="28"/>
    </row>
    <row r="19" spans="1:30" ht="14.25" thickBot="1" x14ac:dyDescent="0.35">
      <c r="B19" s="35" t="s">
        <v>58</v>
      </c>
      <c r="C19" s="35"/>
      <c r="D19" s="35"/>
      <c r="E19" s="35"/>
      <c r="F19" s="35"/>
      <c r="G19" s="35"/>
      <c r="H19" s="5" t="s">
        <v>59</v>
      </c>
    </row>
    <row r="20" spans="1:30" ht="12" customHeight="1" thickBot="1" x14ac:dyDescent="0.35">
      <c r="B20" s="36" t="s">
        <v>8</v>
      </c>
      <c r="C20" s="10" t="s">
        <v>13</v>
      </c>
      <c r="D20" s="10"/>
      <c r="E20" s="10"/>
      <c r="F20" s="37"/>
      <c r="G20" s="38"/>
      <c r="H20" s="39" t="s">
        <v>5</v>
      </c>
      <c r="I20" s="40" t="s">
        <v>45</v>
      </c>
      <c r="J20" s="40" t="s">
        <v>36</v>
      </c>
      <c r="K20" s="40" t="s">
        <v>42</v>
      </c>
      <c r="L20" s="41" t="s">
        <v>39</v>
      </c>
    </row>
    <row r="21" spans="1:30" ht="12" customHeight="1" thickBot="1" x14ac:dyDescent="0.35">
      <c r="B21" s="42"/>
      <c r="C21" s="19" t="s">
        <v>8</v>
      </c>
      <c r="D21" s="19" t="s">
        <v>28</v>
      </c>
      <c r="E21" s="19" t="s">
        <v>27</v>
      </c>
      <c r="F21" s="43" t="s">
        <v>29</v>
      </c>
      <c r="G21" s="38"/>
      <c r="H21" s="44" t="s">
        <v>60</v>
      </c>
      <c r="I21" s="45">
        <v>8000000</v>
      </c>
      <c r="J21" s="45">
        <v>7000000</v>
      </c>
      <c r="K21" s="45">
        <v>6000000</v>
      </c>
      <c r="L21" s="46">
        <v>5000000</v>
      </c>
    </row>
    <row r="22" spans="1:30" ht="12" customHeight="1" x14ac:dyDescent="0.3">
      <c r="B22" s="47" t="s">
        <v>61</v>
      </c>
      <c r="C22" s="48">
        <v>0.03</v>
      </c>
      <c r="D22" s="48">
        <v>0.02</v>
      </c>
      <c r="E22" s="48">
        <v>0.03</v>
      </c>
      <c r="F22" s="49">
        <v>0.05</v>
      </c>
      <c r="G22" s="50"/>
      <c r="H22" s="51" t="s">
        <v>62</v>
      </c>
      <c r="I22" s="52">
        <v>17000000</v>
      </c>
      <c r="J22" s="52">
        <v>15000000</v>
      </c>
      <c r="K22" s="52">
        <v>12000000</v>
      </c>
      <c r="L22" s="53">
        <v>10000000</v>
      </c>
    </row>
    <row r="23" spans="1:30" ht="12" customHeight="1" x14ac:dyDescent="0.3">
      <c r="B23" s="29" t="s">
        <v>63</v>
      </c>
      <c r="C23" s="54">
        <v>0.04</v>
      </c>
      <c r="D23" s="54">
        <v>0.02</v>
      </c>
      <c r="E23" s="54">
        <v>0.03</v>
      </c>
      <c r="F23" s="55">
        <v>0.05</v>
      </c>
      <c r="G23" s="50"/>
      <c r="H23" s="51" t="s">
        <v>64</v>
      </c>
      <c r="I23" s="52">
        <v>30000000</v>
      </c>
      <c r="J23" s="52">
        <v>27000000</v>
      </c>
      <c r="K23" s="52">
        <v>25000000</v>
      </c>
      <c r="L23" s="53">
        <v>22000000</v>
      </c>
    </row>
    <row r="24" spans="1:30" ht="12" customHeight="1" thickBot="1" x14ac:dyDescent="0.35">
      <c r="B24" s="29" t="s">
        <v>65</v>
      </c>
      <c r="C24" s="54">
        <v>0.05</v>
      </c>
      <c r="D24" s="54">
        <v>0.02</v>
      </c>
      <c r="E24" s="54">
        <v>0.03</v>
      </c>
      <c r="F24" s="55">
        <v>0.05</v>
      </c>
      <c r="G24" s="50"/>
      <c r="H24" s="56" t="s">
        <v>66</v>
      </c>
      <c r="I24" s="57">
        <v>6500000</v>
      </c>
      <c r="J24" s="57">
        <v>6000000</v>
      </c>
      <c r="K24" s="57">
        <v>5500000</v>
      </c>
      <c r="L24" s="58">
        <v>5000000</v>
      </c>
    </row>
    <row r="25" spans="1:30" ht="12" customHeight="1" thickBot="1" x14ac:dyDescent="0.35">
      <c r="B25" s="32" t="s">
        <v>67</v>
      </c>
      <c r="C25" s="59">
        <v>0.02</v>
      </c>
      <c r="D25" s="59">
        <v>0.02</v>
      </c>
      <c r="E25" s="59">
        <v>0.03</v>
      </c>
      <c r="F25" s="60">
        <v>0.05</v>
      </c>
      <c r="G25" s="50"/>
    </row>
    <row r="26" spans="1:30" ht="9.9499999999999993" customHeight="1" x14ac:dyDescent="0.3"/>
    <row r="27" spans="1:30" ht="12.95" customHeight="1" x14ac:dyDescent="0.3">
      <c r="A27" s="5" t="s">
        <v>68</v>
      </c>
    </row>
    <row r="28" spans="1:30" ht="12.95" customHeight="1" x14ac:dyDescent="0.3">
      <c r="B28" s="5" t="s">
        <v>69</v>
      </c>
      <c r="H28" s="5" t="s">
        <v>70</v>
      </c>
      <c r="M28" s="5" t="s">
        <v>71</v>
      </c>
    </row>
    <row r="29" spans="1:30" ht="12.95" customHeight="1" x14ac:dyDescent="0.3">
      <c r="B29" s="4" t="s">
        <v>72</v>
      </c>
      <c r="H29" s="5" t="s">
        <v>73</v>
      </c>
      <c r="M29" s="4" t="s">
        <v>74</v>
      </c>
    </row>
    <row r="30" spans="1:30" ht="12.95" customHeight="1" x14ac:dyDescent="0.3">
      <c r="B30" s="4" t="s">
        <v>75</v>
      </c>
      <c r="H30" s="5" t="s">
        <v>76</v>
      </c>
      <c r="M30" s="5" t="s">
        <v>77</v>
      </c>
    </row>
    <row r="31" spans="1:30" ht="12.95" customHeight="1" x14ac:dyDescent="0.3">
      <c r="B31" s="4" t="s">
        <v>78</v>
      </c>
      <c r="H31" s="4" t="s">
        <v>79</v>
      </c>
      <c r="M31" s="5" t="s">
        <v>80</v>
      </c>
    </row>
    <row r="32" spans="1:30" ht="12.95" customHeight="1" x14ac:dyDescent="0.3">
      <c r="B32" s="4" t="s">
        <v>81</v>
      </c>
      <c r="H32" s="4" t="s">
        <v>82</v>
      </c>
      <c r="M32" s="4" t="s">
        <v>83</v>
      </c>
    </row>
    <row r="33" spans="1:29" ht="12.95" customHeight="1" x14ac:dyDescent="0.3">
      <c r="A33" s="61"/>
      <c r="B33" s="5" t="s">
        <v>84</v>
      </c>
      <c r="H33" s="5" t="s">
        <v>85</v>
      </c>
      <c r="M33" s="5" t="s">
        <v>86</v>
      </c>
    </row>
    <row r="34" spans="1:29" ht="12.95" customHeight="1" x14ac:dyDescent="0.3">
      <c r="B34" s="5" t="s">
        <v>87</v>
      </c>
      <c r="H34" s="4" t="s">
        <v>88</v>
      </c>
      <c r="M34" s="5" t="s">
        <v>89</v>
      </c>
    </row>
    <row r="35" spans="1:29" ht="12.95" customHeight="1" x14ac:dyDescent="0.3">
      <c r="B35" s="5" t="s">
        <v>90</v>
      </c>
      <c r="H35" s="4" t="s">
        <v>91</v>
      </c>
      <c r="M35" s="4" t="s">
        <v>92</v>
      </c>
    </row>
    <row r="36" spans="1:29" ht="12.95" customHeight="1" x14ac:dyDescent="0.3">
      <c r="B36" s="4" t="s">
        <v>93</v>
      </c>
      <c r="H36" s="5" t="s">
        <v>94</v>
      </c>
      <c r="M36" s="4" t="s">
        <v>95</v>
      </c>
    </row>
    <row r="37" spans="1:29" ht="12.95" customHeight="1" x14ac:dyDescent="0.3">
      <c r="B37" s="4" t="s">
        <v>96</v>
      </c>
      <c r="H37" s="5" t="s">
        <v>97</v>
      </c>
      <c r="M37" s="4" t="s">
        <v>98</v>
      </c>
    </row>
    <row r="38" spans="1:29" ht="12.95" customHeight="1" x14ac:dyDescent="0.3">
      <c r="H38" s="4" t="s">
        <v>99</v>
      </c>
      <c r="I38" s="4" t="s">
        <v>100</v>
      </c>
    </row>
    <row r="39" spans="1:29" ht="12.95" customHeight="1" thickBot="1" x14ac:dyDescent="0.35"/>
    <row r="40" spans="1:29" ht="12.95" customHeight="1" thickBot="1" x14ac:dyDescent="0.35">
      <c r="A40" s="62" t="s">
        <v>0</v>
      </c>
      <c r="B40" s="63"/>
    </row>
    <row r="41" spans="1:29" ht="14.25" thickBot="1" x14ac:dyDescent="0.35">
      <c r="B41" s="5"/>
    </row>
    <row r="42" spans="1:29" ht="14.25" thickBot="1" x14ac:dyDescent="0.35">
      <c r="A42" s="64" t="s">
        <v>101</v>
      </c>
      <c r="B42" s="64" t="s">
        <v>102</v>
      </c>
      <c r="C42" s="64" t="s">
        <v>103</v>
      </c>
      <c r="D42" s="64" t="s">
        <v>104</v>
      </c>
      <c r="E42" s="64" t="s">
        <v>105</v>
      </c>
      <c r="F42" s="64" t="s">
        <v>106</v>
      </c>
      <c r="G42" s="64" t="s">
        <v>107</v>
      </c>
      <c r="H42" s="64" t="s">
        <v>108</v>
      </c>
      <c r="I42" s="64" t="s">
        <v>45</v>
      </c>
      <c r="J42" s="64" t="s">
        <v>109</v>
      </c>
      <c r="K42" s="64" t="s">
        <v>110</v>
      </c>
      <c r="L42" s="64" t="s">
        <v>111</v>
      </c>
      <c r="M42" s="64" t="s">
        <v>112</v>
      </c>
      <c r="N42" s="64" t="s">
        <v>113</v>
      </c>
      <c r="O42" s="64" t="s">
        <v>114</v>
      </c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 t="s">
        <v>115</v>
      </c>
      <c r="AA42" s="64"/>
      <c r="AB42" s="64" t="s">
        <v>116</v>
      </c>
      <c r="AC42" s="64" t="s">
        <v>117</v>
      </c>
    </row>
    <row r="43" spans="1:29" ht="15" x14ac:dyDescent="0.3">
      <c r="A43" s="65" t="s">
        <v>1</v>
      </c>
      <c r="B43" s="5"/>
    </row>
    <row r="44" spans="1:29" ht="15" x14ac:dyDescent="0.3">
      <c r="A44" s="65" t="s">
        <v>118</v>
      </c>
      <c r="B44" s="5"/>
    </row>
    <row r="45" spans="1:29" ht="8.1" customHeight="1" thickBot="1" x14ac:dyDescent="0.35">
      <c r="B45" s="5"/>
      <c r="AB45" s="5" t="s">
        <v>119</v>
      </c>
    </row>
    <row r="46" spans="1:29" ht="11.25" customHeight="1" thickBot="1" x14ac:dyDescent="0.35">
      <c r="A46" s="6" t="s">
        <v>4</v>
      </c>
      <c r="B46" s="7" t="s">
        <v>5</v>
      </c>
      <c r="C46" s="7" t="s">
        <v>6</v>
      </c>
      <c r="D46" s="8" t="s">
        <v>7</v>
      </c>
      <c r="E46" s="8" t="s">
        <v>8</v>
      </c>
      <c r="F46" s="7" t="s">
        <v>9</v>
      </c>
      <c r="G46" s="9" t="s">
        <v>10</v>
      </c>
      <c r="H46" s="7" t="s">
        <v>11</v>
      </c>
      <c r="I46" s="7" t="s">
        <v>12</v>
      </c>
      <c r="J46" s="10" t="s">
        <v>13</v>
      </c>
      <c r="K46" s="10"/>
      <c r="L46" s="10"/>
      <c r="M46" s="10"/>
      <c r="N46" s="8" t="s">
        <v>14</v>
      </c>
      <c r="O46" s="7" t="s">
        <v>15</v>
      </c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7" t="s">
        <v>120</v>
      </c>
      <c r="AA46" s="66"/>
      <c r="AB46" s="7" t="s">
        <v>25</v>
      </c>
      <c r="AC46" s="14" t="s">
        <v>26</v>
      </c>
    </row>
    <row r="47" spans="1:29" ht="15.75" customHeight="1" thickBot="1" x14ac:dyDescent="0.35">
      <c r="A47" s="15"/>
      <c r="B47" s="16"/>
      <c r="C47" s="16"/>
      <c r="D47" s="17"/>
      <c r="E47" s="17"/>
      <c r="F47" s="16"/>
      <c r="G47" s="18"/>
      <c r="H47" s="16"/>
      <c r="I47" s="16"/>
      <c r="J47" s="19" t="s">
        <v>8</v>
      </c>
      <c r="K47" s="19" t="s">
        <v>27</v>
      </c>
      <c r="L47" s="19" t="s">
        <v>28</v>
      </c>
      <c r="M47" s="19" t="s">
        <v>29</v>
      </c>
      <c r="N47" s="17"/>
      <c r="O47" s="16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16"/>
      <c r="AA47" s="20"/>
      <c r="AB47" s="16"/>
      <c r="AC47" s="21"/>
    </row>
    <row r="48" spans="1:29" ht="12.95" customHeight="1" thickBot="1" x14ac:dyDescent="0.35">
      <c r="A48" s="22">
        <v>1</v>
      </c>
      <c r="B48" s="23" t="s">
        <v>34</v>
      </c>
      <c r="C48" s="23" t="s">
        <v>35</v>
      </c>
      <c r="D48" s="24" t="s">
        <v>36</v>
      </c>
      <c r="E48" s="23" t="str">
        <f>IF(LEFT(B48,2)="AD","Administrasi",IF(LEFT(B48,2)="KB","Ka. Bagian",IF(LEFT(B48,2)="PD","Pres. Direktur","Staff")))</f>
        <v>Administrasi</v>
      </c>
      <c r="F48" s="24">
        <f>MID(B48,3,2)+1900</f>
        <v>1985</v>
      </c>
      <c r="G48" s="24">
        <f>2009-F48</f>
        <v>24</v>
      </c>
      <c r="H48" s="23" t="str">
        <f t="shared" ref="H48:H57" si="25">IF(MID(B48,5,2)="TK","Blm Kawin","Kawin")</f>
        <v>Blm Kawin</v>
      </c>
      <c r="I48" s="67">
        <f t="shared" ref="I48:I57" si="26">VLOOKUP(LEFT(B48,2),$H$21:$L$24,IF(D48="I",2,IF(D48="II",3,IF(D48="III",4,5))))</f>
        <v>7000000</v>
      </c>
      <c r="J48" s="68">
        <f t="shared" ref="J48:J57" si="27">VLOOKUP(E48,$B$22:$F$25,2)*I48</f>
        <v>210000</v>
      </c>
      <c r="K48" s="68">
        <f t="shared" ref="K48:K57" si="28">IF(H48="Blm Kawin",0,VLOOKUP(E48,$B$22:$F$25,4))*I48</f>
        <v>0</v>
      </c>
      <c r="L48" s="68">
        <f t="shared" ref="L48:L57" si="29">IF(H48="Blm Kawin",0,VLOOKUP(E48,$B$22:$F$25,3)*I48)</f>
        <v>0</v>
      </c>
      <c r="M48" s="68">
        <f t="shared" ref="M48:M56" si="30">IF(H48="Blm Kawin",0,VLOOKUP(E48,$B$22:$F$25,5)*I48)</f>
        <v>0</v>
      </c>
      <c r="N48" s="68">
        <f t="shared" ref="N48:N57" si="31">IF(G48&gt;=20,25%*I48,0)</f>
        <v>1750000</v>
      </c>
      <c r="O48" s="68">
        <f t="shared" ref="O48:O57" si="32">SUM(I48:N48)</f>
        <v>8960000</v>
      </c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>
        <f t="shared" ref="Z48:Z57" si="33">10%*O48</f>
        <v>896000</v>
      </c>
      <c r="AA48" s="68"/>
      <c r="AB48" s="68">
        <f t="shared" ref="AB48:AB57" si="34">O48-Z48</f>
        <v>8064000</v>
      </c>
      <c r="AC48" s="69" t="str">
        <f t="shared" ref="AC48:AC57" si="35">IF(RIGHT(B48,1)="K","Kontrak",IF(RIGHT(B48,1)="T","Tetap","Mutasi"))</f>
        <v>Kontrak</v>
      </c>
    </row>
    <row r="49" spans="1:29" ht="12.95" customHeight="1" thickBot="1" x14ac:dyDescent="0.35">
      <c r="A49" s="29">
        <v>2</v>
      </c>
      <c r="B49" s="30" t="s">
        <v>37</v>
      </c>
      <c r="C49" s="30" t="s">
        <v>38</v>
      </c>
      <c r="D49" s="31" t="s">
        <v>39</v>
      </c>
      <c r="E49" s="30" t="str">
        <f t="shared" ref="E49:E57" si="36">IF(LEFT(B49,2)="AD","Administrasi",IF(LEFT(B49,2)="KB","Ka. Bagian",IF(LEFT(B49,2)="PD","Pres. Direktur","Staff")))</f>
        <v>Pres. Direktur</v>
      </c>
      <c r="F49" s="31">
        <f t="shared" ref="F49:F57" si="37">MID(B49,3,2)+1900</f>
        <v>1978</v>
      </c>
      <c r="G49" s="24">
        <f t="shared" ref="G49:G57" si="38">2009-F49</f>
        <v>31</v>
      </c>
      <c r="H49" s="30" t="str">
        <f t="shared" si="25"/>
        <v>Kawin</v>
      </c>
      <c r="I49" s="70">
        <f t="shared" si="26"/>
        <v>22000000</v>
      </c>
      <c r="J49" s="45">
        <f t="shared" si="27"/>
        <v>1100000</v>
      </c>
      <c r="K49" s="45">
        <f t="shared" si="28"/>
        <v>660000</v>
      </c>
      <c r="L49" s="45">
        <f t="shared" si="29"/>
        <v>440000</v>
      </c>
      <c r="M49" s="45">
        <f t="shared" si="30"/>
        <v>1100000</v>
      </c>
      <c r="N49" s="68">
        <f t="shared" si="31"/>
        <v>5500000</v>
      </c>
      <c r="O49" s="45">
        <f t="shared" si="32"/>
        <v>30800000</v>
      </c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52">
        <f t="shared" si="33"/>
        <v>3080000</v>
      </c>
      <c r="AA49" s="52"/>
      <c r="AB49" s="52">
        <f t="shared" si="34"/>
        <v>27720000</v>
      </c>
      <c r="AC49" s="71" t="str">
        <f t="shared" si="35"/>
        <v>Tetap</v>
      </c>
    </row>
    <row r="50" spans="1:29" ht="12.95" customHeight="1" thickBot="1" x14ac:dyDescent="0.35">
      <c r="A50" s="29">
        <v>3</v>
      </c>
      <c r="B50" s="30" t="s">
        <v>40</v>
      </c>
      <c r="C50" s="30" t="s">
        <v>41</v>
      </c>
      <c r="D50" s="31" t="s">
        <v>42</v>
      </c>
      <c r="E50" s="30" t="str">
        <f t="shared" si="36"/>
        <v>Ka. Bagian</v>
      </c>
      <c r="F50" s="31">
        <f t="shared" si="37"/>
        <v>1980</v>
      </c>
      <c r="G50" s="24">
        <f t="shared" si="38"/>
        <v>29</v>
      </c>
      <c r="H50" s="30" t="str">
        <f t="shared" si="25"/>
        <v>Kawin</v>
      </c>
      <c r="I50" s="70">
        <f t="shared" si="26"/>
        <v>12000000</v>
      </c>
      <c r="J50" s="45">
        <f t="shared" si="27"/>
        <v>480000</v>
      </c>
      <c r="K50" s="45">
        <f t="shared" si="28"/>
        <v>360000</v>
      </c>
      <c r="L50" s="45">
        <f t="shared" si="29"/>
        <v>240000</v>
      </c>
      <c r="M50" s="45">
        <f t="shared" si="30"/>
        <v>600000</v>
      </c>
      <c r="N50" s="68">
        <f t="shared" si="31"/>
        <v>3000000</v>
      </c>
      <c r="O50" s="45">
        <f t="shared" si="32"/>
        <v>16680000</v>
      </c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52">
        <f t="shared" si="33"/>
        <v>1668000</v>
      </c>
      <c r="AA50" s="52"/>
      <c r="AB50" s="52">
        <f t="shared" si="34"/>
        <v>15012000</v>
      </c>
      <c r="AC50" s="71" t="str">
        <f t="shared" si="35"/>
        <v>Tetap</v>
      </c>
    </row>
    <row r="51" spans="1:29" ht="12.95" customHeight="1" thickBot="1" x14ac:dyDescent="0.35">
      <c r="A51" s="29">
        <v>4</v>
      </c>
      <c r="B51" s="30" t="s">
        <v>43</v>
      </c>
      <c r="C51" s="30" t="s">
        <v>44</v>
      </c>
      <c r="D51" s="31" t="s">
        <v>45</v>
      </c>
      <c r="E51" s="30" t="str">
        <f t="shared" si="36"/>
        <v>Staff</v>
      </c>
      <c r="F51" s="31">
        <f t="shared" si="37"/>
        <v>1979</v>
      </c>
      <c r="G51" s="24">
        <f t="shared" si="38"/>
        <v>30</v>
      </c>
      <c r="H51" s="30" t="str">
        <f t="shared" si="25"/>
        <v>Kawin</v>
      </c>
      <c r="I51" s="70">
        <f t="shared" si="26"/>
        <v>6500000</v>
      </c>
      <c r="J51" s="45">
        <f t="shared" si="27"/>
        <v>130000</v>
      </c>
      <c r="K51" s="45">
        <f t="shared" si="28"/>
        <v>195000</v>
      </c>
      <c r="L51" s="45">
        <f t="shared" si="29"/>
        <v>130000</v>
      </c>
      <c r="M51" s="45">
        <f t="shared" si="30"/>
        <v>325000</v>
      </c>
      <c r="N51" s="68">
        <f t="shared" si="31"/>
        <v>1625000</v>
      </c>
      <c r="O51" s="45">
        <f t="shared" si="32"/>
        <v>8905000</v>
      </c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52">
        <f t="shared" si="33"/>
        <v>890500</v>
      </c>
      <c r="AA51" s="52"/>
      <c r="AB51" s="52">
        <f t="shared" si="34"/>
        <v>8014500</v>
      </c>
      <c r="AC51" s="71" t="str">
        <f t="shared" si="35"/>
        <v>Mutasi</v>
      </c>
    </row>
    <row r="52" spans="1:29" ht="12.95" customHeight="1" thickBot="1" x14ac:dyDescent="0.35">
      <c r="A52" s="29">
        <v>5</v>
      </c>
      <c r="B52" s="30" t="s">
        <v>46</v>
      </c>
      <c r="C52" s="30" t="s">
        <v>47</v>
      </c>
      <c r="D52" s="31" t="s">
        <v>36</v>
      </c>
      <c r="E52" s="30" t="str">
        <f t="shared" si="36"/>
        <v>Pres. Direktur</v>
      </c>
      <c r="F52" s="31">
        <f t="shared" si="37"/>
        <v>1981</v>
      </c>
      <c r="G52" s="24">
        <f t="shared" si="38"/>
        <v>28</v>
      </c>
      <c r="H52" s="30" t="str">
        <f t="shared" si="25"/>
        <v>Blm Kawin</v>
      </c>
      <c r="I52" s="70">
        <f t="shared" si="26"/>
        <v>27000000</v>
      </c>
      <c r="J52" s="45">
        <f t="shared" si="27"/>
        <v>1350000</v>
      </c>
      <c r="K52" s="45">
        <f t="shared" si="28"/>
        <v>0</v>
      </c>
      <c r="L52" s="45">
        <f t="shared" si="29"/>
        <v>0</v>
      </c>
      <c r="M52" s="45">
        <f t="shared" si="30"/>
        <v>0</v>
      </c>
      <c r="N52" s="68">
        <f t="shared" si="31"/>
        <v>6750000</v>
      </c>
      <c r="O52" s="45">
        <f t="shared" si="32"/>
        <v>35100000</v>
      </c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52">
        <f t="shared" si="33"/>
        <v>3510000</v>
      </c>
      <c r="AA52" s="52"/>
      <c r="AB52" s="52">
        <f t="shared" si="34"/>
        <v>31590000</v>
      </c>
      <c r="AC52" s="71" t="str">
        <f t="shared" si="35"/>
        <v>Mutasi</v>
      </c>
    </row>
    <row r="53" spans="1:29" ht="12.95" customHeight="1" thickBot="1" x14ac:dyDescent="0.35">
      <c r="A53" s="29">
        <v>6</v>
      </c>
      <c r="B53" s="30" t="s">
        <v>48</v>
      </c>
      <c r="C53" s="30" t="s">
        <v>49</v>
      </c>
      <c r="D53" s="31" t="s">
        <v>45</v>
      </c>
      <c r="E53" s="30" t="str">
        <f t="shared" si="36"/>
        <v>Administrasi</v>
      </c>
      <c r="F53" s="31">
        <f t="shared" si="37"/>
        <v>1984</v>
      </c>
      <c r="G53" s="24">
        <f t="shared" si="38"/>
        <v>25</v>
      </c>
      <c r="H53" s="30" t="str">
        <f t="shared" si="25"/>
        <v>Blm Kawin</v>
      </c>
      <c r="I53" s="70">
        <f t="shared" si="26"/>
        <v>8000000</v>
      </c>
      <c r="J53" s="45">
        <f t="shared" si="27"/>
        <v>240000</v>
      </c>
      <c r="K53" s="45">
        <f t="shared" si="28"/>
        <v>0</v>
      </c>
      <c r="L53" s="45">
        <f t="shared" si="29"/>
        <v>0</v>
      </c>
      <c r="M53" s="45">
        <f t="shared" si="30"/>
        <v>0</v>
      </c>
      <c r="N53" s="68">
        <f t="shared" si="31"/>
        <v>2000000</v>
      </c>
      <c r="O53" s="45">
        <f t="shared" si="32"/>
        <v>10240000</v>
      </c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52">
        <f t="shared" si="33"/>
        <v>1024000</v>
      </c>
      <c r="AA53" s="52"/>
      <c r="AB53" s="52">
        <f t="shared" si="34"/>
        <v>9216000</v>
      </c>
      <c r="AC53" s="71" t="str">
        <f t="shared" si="35"/>
        <v>Kontrak</v>
      </c>
    </row>
    <row r="54" spans="1:29" ht="12.95" customHeight="1" thickBot="1" x14ac:dyDescent="0.35">
      <c r="A54" s="29">
        <v>7</v>
      </c>
      <c r="B54" s="30" t="s">
        <v>50</v>
      </c>
      <c r="C54" s="30" t="s">
        <v>51</v>
      </c>
      <c r="D54" s="31" t="s">
        <v>39</v>
      </c>
      <c r="E54" s="30" t="str">
        <f t="shared" si="36"/>
        <v>Administrasi</v>
      </c>
      <c r="F54" s="31">
        <f t="shared" si="37"/>
        <v>1980</v>
      </c>
      <c r="G54" s="24">
        <f t="shared" si="38"/>
        <v>29</v>
      </c>
      <c r="H54" s="30" t="str">
        <f t="shared" si="25"/>
        <v>Kawin</v>
      </c>
      <c r="I54" s="70">
        <f t="shared" si="26"/>
        <v>5000000</v>
      </c>
      <c r="J54" s="45">
        <f t="shared" si="27"/>
        <v>150000</v>
      </c>
      <c r="K54" s="45">
        <f t="shared" si="28"/>
        <v>150000</v>
      </c>
      <c r="L54" s="45">
        <f t="shared" si="29"/>
        <v>100000</v>
      </c>
      <c r="M54" s="45">
        <f t="shared" si="30"/>
        <v>250000</v>
      </c>
      <c r="N54" s="68">
        <f t="shared" si="31"/>
        <v>1250000</v>
      </c>
      <c r="O54" s="45">
        <f t="shared" si="32"/>
        <v>6900000</v>
      </c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52">
        <f t="shared" si="33"/>
        <v>690000</v>
      </c>
      <c r="AA54" s="52"/>
      <c r="AB54" s="52">
        <f t="shared" si="34"/>
        <v>6210000</v>
      </c>
      <c r="AC54" s="71" t="str">
        <f t="shared" si="35"/>
        <v>Mutasi</v>
      </c>
    </row>
    <row r="55" spans="1:29" ht="12.95" customHeight="1" thickBot="1" x14ac:dyDescent="0.35">
      <c r="A55" s="29">
        <v>8</v>
      </c>
      <c r="B55" s="30" t="s">
        <v>52</v>
      </c>
      <c r="C55" s="30" t="s">
        <v>53</v>
      </c>
      <c r="D55" s="31" t="s">
        <v>42</v>
      </c>
      <c r="E55" s="30" t="str">
        <f t="shared" si="36"/>
        <v>Staff</v>
      </c>
      <c r="F55" s="31">
        <f t="shared" si="37"/>
        <v>1990</v>
      </c>
      <c r="G55" s="24">
        <f t="shared" si="38"/>
        <v>19</v>
      </c>
      <c r="H55" s="30" t="str">
        <f t="shared" si="25"/>
        <v>Blm Kawin</v>
      </c>
      <c r="I55" s="70">
        <f t="shared" si="26"/>
        <v>5500000</v>
      </c>
      <c r="J55" s="45">
        <f t="shared" si="27"/>
        <v>110000</v>
      </c>
      <c r="K55" s="45">
        <f t="shared" si="28"/>
        <v>0</v>
      </c>
      <c r="L55" s="45">
        <f t="shared" si="29"/>
        <v>0</v>
      </c>
      <c r="M55" s="45">
        <f t="shared" si="30"/>
        <v>0</v>
      </c>
      <c r="N55" s="68">
        <f t="shared" si="31"/>
        <v>0</v>
      </c>
      <c r="O55" s="45">
        <f t="shared" si="32"/>
        <v>5610000</v>
      </c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52">
        <f t="shared" si="33"/>
        <v>561000</v>
      </c>
      <c r="AA55" s="52"/>
      <c r="AB55" s="52">
        <f t="shared" si="34"/>
        <v>5049000</v>
      </c>
      <c r="AC55" s="71" t="str">
        <f t="shared" si="35"/>
        <v>Kontrak</v>
      </c>
    </row>
    <row r="56" spans="1:29" ht="12.95" customHeight="1" thickBot="1" x14ac:dyDescent="0.35">
      <c r="A56" s="29">
        <v>9</v>
      </c>
      <c r="B56" s="30" t="s">
        <v>54</v>
      </c>
      <c r="C56" s="30" t="s">
        <v>55</v>
      </c>
      <c r="D56" s="31" t="s">
        <v>36</v>
      </c>
      <c r="E56" s="30" t="str">
        <f t="shared" si="36"/>
        <v>Ka. Bagian</v>
      </c>
      <c r="F56" s="31">
        <f t="shared" si="37"/>
        <v>1987</v>
      </c>
      <c r="G56" s="24">
        <f t="shared" si="38"/>
        <v>22</v>
      </c>
      <c r="H56" s="30" t="str">
        <f t="shared" si="25"/>
        <v>Kawin</v>
      </c>
      <c r="I56" s="70">
        <f t="shared" si="26"/>
        <v>15000000</v>
      </c>
      <c r="J56" s="45">
        <f t="shared" si="27"/>
        <v>600000</v>
      </c>
      <c r="K56" s="45">
        <f t="shared" si="28"/>
        <v>450000</v>
      </c>
      <c r="L56" s="45">
        <f t="shared" si="29"/>
        <v>300000</v>
      </c>
      <c r="M56" s="45">
        <f t="shared" si="30"/>
        <v>750000</v>
      </c>
      <c r="N56" s="68">
        <f t="shared" si="31"/>
        <v>3750000</v>
      </c>
      <c r="O56" s="45">
        <f t="shared" si="32"/>
        <v>20850000</v>
      </c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52">
        <f t="shared" si="33"/>
        <v>2085000</v>
      </c>
      <c r="AA56" s="52"/>
      <c r="AB56" s="52">
        <f t="shared" si="34"/>
        <v>18765000</v>
      </c>
      <c r="AC56" s="71" t="str">
        <f t="shared" si="35"/>
        <v>Tetap</v>
      </c>
    </row>
    <row r="57" spans="1:29" ht="12.95" customHeight="1" thickBot="1" x14ac:dyDescent="0.35">
      <c r="A57" s="32">
        <v>10</v>
      </c>
      <c r="B57" s="33" t="s">
        <v>56</v>
      </c>
      <c r="C57" s="33" t="s">
        <v>57</v>
      </c>
      <c r="D57" s="34" t="s">
        <v>42</v>
      </c>
      <c r="E57" s="33" t="str">
        <f t="shared" si="36"/>
        <v>Staff</v>
      </c>
      <c r="F57" s="34">
        <f t="shared" si="37"/>
        <v>1992</v>
      </c>
      <c r="G57" s="24">
        <f t="shared" si="38"/>
        <v>17</v>
      </c>
      <c r="H57" s="33" t="str">
        <f t="shared" si="25"/>
        <v>Kawin</v>
      </c>
      <c r="I57" s="72">
        <f t="shared" si="26"/>
        <v>5500000</v>
      </c>
      <c r="J57" s="73">
        <f t="shared" si="27"/>
        <v>110000</v>
      </c>
      <c r="K57" s="73">
        <f t="shared" si="28"/>
        <v>165000</v>
      </c>
      <c r="L57" s="73">
        <f t="shared" si="29"/>
        <v>110000</v>
      </c>
      <c r="M57" s="57">
        <v>0</v>
      </c>
      <c r="N57" s="68">
        <f t="shared" si="31"/>
        <v>0</v>
      </c>
      <c r="O57" s="73">
        <f t="shared" si="32"/>
        <v>5885000</v>
      </c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57">
        <f t="shared" si="33"/>
        <v>588500</v>
      </c>
      <c r="AA57" s="57"/>
      <c r="AB57" s="57">
        <f t="shared" si="34"/>
        <v>5296500</v>
      </c>
      <c r="AC57" s="74" t="str">
        <f t="shared" si="35"/>
        <v>Tetap</v>
      </c>
    </row>
  </sheetData>
  <mergeCells count="42">
    <mergeCell ref="Z46:Z47"/>
    <mergeCell ref="AB46:AB47"/>
    <mergeCell ref="AC46:AC47"/>
    <mergeCell ref="G46:G47"/>
    <mergeCell ref="H46:H47"/>
    <mergeCell ref="I46:I47"/>
    <mergeCell ref="J46:M46"/>
    <mergeCell ref="N46:N47"/>
    <mergeCell ref="O46:O47"/>
    <mergeCell ref="B20:B21"/>
    <mergeCell ref="C20:F20"/>
    <mergeCell ref="A40:B40"/>
    <mergeCell ref="A46:A47"/>
    <mergeCell ref="B46:B47"/>
    <mergeCell ref="C46:C47"/>
    <mergeCell ref="D46:D47"/>
    <mergeCell ref="E46:E47"/>
    <mergeCell ref="F46:F47"/>
    <mergeCell ref="X6:X7"/>
    <mergeCell ref="Y6:Y7"/>
    <mergeCell ref="Z6:Z7"/>
    <mergeCell ref="AA6:AA7"/>
    <mergeCell ref="AB6:AB7"/>
    <mergeCell ref="AC6:AC7"/>
    <mergeCell ref="O6:O7"/>
    <mergeCell ref="P6:S6"/>
    <mergeCell ref="T6:T7"/>
    <mergeCell ref="U6:U7"/>
    <mergeCell ref="V6:V7"/>
    <mergeCell ref="W6:W7"/>
    <mergeCell ref="F6:F7"/>
    <mergeCell ref="G6:G7"/>
    <mergeCell ref="H6:H7"/>
    <mergeCell ref="I6:I7"/>
    <mergeCell ref="J6:M6"/>
    <mergeCell ref="N6:N7"/>
    <mergeCell ref="A1:B1"/>
    <mergeCell ref="A6:A7"/>
    <mergeCell ref="B6:B7"/>
    <mergeCell ref="C6:C7"/>
    <mergeCell ref="D6:D7"/>
    <mergeCell ref="E6:E7"/>
  </mergeCells>
  <pageMargins left="0.39370078740157483" right="0.39370078740157483" top="0.39370078740157483" bottom="0.39370078740157483" header="0.51181102362204722" footer="0.51181102362204722"/>
  <pageSetup paperSize="9" scale="85" orientation="landscape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Dasep Samsul</dc:creator>
  <cp:lastModifiedBy>Dasep Samsul</cp:lastModifiedBy>
  <dcterms:created xsi:type="dcterms:W3CDTF">2026-05-12T23:58:49Z</dcterms:created>
  <dcterms:modified xsi:type="dcterms:W3CDTF">2026-05-13T00:00:03Z</dcterms:modified>
</cp:coreProperties>
</file>