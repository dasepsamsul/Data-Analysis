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4955" windowHeight="8700" activeTab="11"/>
  </bookViews>
  <sheets>
    <sheet name="Lat1" sheetId="1" r:id="rId1"/>
    <sheet name="Lat2" sheetId="3" r:id="rId2"/>
    <sheet name="Lat3" sheetId="4" r:id="rId3"/>
    <sheet name="Lat4" sheetId="2" r:id="rId4"/>
    <sheet name="Lat5" sheetId="6" r:id="rId5"/>
    <sheet name="Lat6" sheetId="5" r:id="rId6"/>
    <sheet name="Lat7" sheetId="7" r:id="rId7"/>
    <sheet name="Lat8" sheetId="8" r:id="rId8"/>
    <sheet name="Lat9" sheetId="9" r:id="rId9"/>
    <sheet name="Lat10" sheetId="10" r:id="rId10"/>
    <sheet name="Lat11" sheetId="11" r:id="rId11"/>
    <sheet name="Lat12" sheetId="12" r:id="rId12"/>
  </sheets>
  <calcPr calcId="144525"/>
</workbook>
</file>

<file path=xl/calcChain.xml><?xml version="1.0" encoding="utf-8"?>
<calcChain xmlns="http://schemas.openxmlformats.org/spreadsheetml/2006/main">
  <c r="AB17" i="12" l="1"/>
  <c r="AB16" i="12"/>
  <c r="AB15" i="12"/>
  <c r="AB14" i="12"/>
  <c r="AB13" i="12"/>
  <c r="AB12" i="12"/>
  <c r="AB11" i="12"/>
  <c r="AB10" i="12"/>
  <c r="AB9" i="12"/>
  <c r="AB8" i="12"/>
  <c r="T9" i="12"/>
  <c r="T10" i="12"/>
  <c r="T11" i="12"/>
  <c r="T12" i="12"/>
  <c r="T13" i="12"/>
  <c r="T14" i="12"/>
  <c r="T15" i="12"/>
  <c r="T16" i="12"/>
  <c r="T17" i="12"/>
  <c r="T8" i="12"/>
  <c r="S9" i="12"/>
  <c r="S10" i="12"/>
  <c r="S11" i="12"/>
  <c r="S12" i="12"/>
  <c r="S13" i="12"/>
  <c r="S14" i="12"/>
  <c r="S15" i="12"/>
  <c r="S16" i="12"/>
  <c r="S17" i="12"/>
  <c r="S8" i="12"/>
  <c r="R9" i="12"/>
  <c r="R10" i="12"/>
  <c r="R11" i="12"/>
  <c r="R12" i="12"/>
  <c r="R13" i="12"/>
  <c r="R14" i="12"/>
  <c r="R15" i="12"/>
  <c r="R16" i="12"/>
  <c r="R17" i="12"/>
  <c r="R8" i="12"/>
  <c r="Q9" i="12"/>
  <c r="Q10" i="12"/>
  <c r="Q11" i="12"/>
  <c r="Q12" i="12"/>
  <c r="Q13" i="12"/>
  <c r="Q14" i="12"/>
  <c r="Q15" i="12"/>
  <c r="Q16" i="12"/>
  <c r="Q17" i="12"/>
  <c r="Q8" i="12"/>
  <c r="P9" i="12"/>
  <c r="P10" i="12"/>
  <c r="P11" i="12"/>
  <c r="P12" i="12"/>
  <c r="P13" i="12"/>
  <c r="P14" i="12"/>
  <c r="P15" i="12"/>
  <c r="P16" i="12"/>
  <c r="P17" i="12"/>
  <c r="P8" i="12"/>
  <c r="I17" i="10" l="1"/>
  <c r="H17" i="10"/>
  <c r="I8" i="10"/>
  <c r="G17" i="10"/>
  <c r="F17" i="10"/>
  <c r="I9" i="6"/>
  <c r="I10" i="6"/>
  <c r="I11" i="6"/>
  <c r="I12" i="6"/>
  <c r="I13" i="6"/>
  <c r="I14" i="6"/>
  <c r="I15" i="6"/>
  <c r="I16" i="6"/>
  <c r="I17" i="6"/>
  <c r="I8" i="6"/>
  <c r="M10" i="8"/>
  <c r="M11" i="8"/>
  <c r="M12" i="8"/>
  <c r="M13" i="8"/>
  <c r="M9" i="8"/>
  <c r="F9" i="12"/>
  <c r="G9" i="12" s="1"/>
  <c r="F10" i="12"/>
  <c r="G10" i="12" s="1"/>
  <c r="F11" i="12"/>
  <c r="G11" i="12" s="1"/>
  <c r="F12" i="12"/>
  <c r="G12" i="12" s="1"/>
  <c r="F13" i="12"/>
  <c r="G13" i="12" s="1"/>
  <c r="F14" i="12"/>
  <c r="G14" i="12" s="1"/>
  <c r="F15" i="12"/>
  <c r="G15" i="12" s="1"/>
  <c r="N15" i="12" s="1"/>
  <c r="F16" i="12"/>
  <c r="G16" i="12" s="1"/>
  <c r="N16" i="12" s="1"/>
  <c r="F17" i="12"/>
  <c r="G17" i="12" s="1"/>
  <c r="N17" i="12" s="1"/>
  <c r="F8" i="12"/>
  <c r="G8" i="12" s="1"/>
  <c r="F10" i="8"/>
  <c r="F11" i="8"/>
  <c r="F12" i="8"/>
  <c r="F13" i="8"/>
  <c r="F9" i="8"/>
  <c r="H10" i="8"/>
  <c r="H11" i="8"/>
  <c r="H12" i="8"/>
  <c r="H13" i="8"/>
  <c r="H9" i="8"/>
  <c r="F11" i="7"/>
  <c r="F12" i="7"/>
  <c r="F13" i="7"/>
  <c r="F14" i="7"/>
  <c r="F15" i="7"/>
  <c r="F16" i="7"/>
  <c r="F17" i="7"/>
  <c r="F18" i="7"/>
  <c r="F19" i="7"/>
  <c r="F10" i="7"/>
  <c r="E11" i="7"/>
  <c r="E12" i="7"/>
  <c r="E13" i="7"/>
  <c r="E14" i="7"/>
  <c r="E15" i="7"/>
  <c r="E16" i="7"/>
  <c r="E17" i="7"/>
  <c r="E18" i="7"/>
  <c r="E19" i="7"/>
  <c r="E10" i="7"/>
  <c r="F9" i="5"/>
  <c r="F10" i="5"/>
  <c r="F11" i="5"/>
  <c r="F12" i="5"/>
  <c r="F8" i="5"/>
  <c r="G16" i="3"/>
  <c r="K9" i="6"/>
  <c r="K10" i="6"/>
  <c r="K11" i="6"/>
  <c r="K12" i="6"/>
  <c r="K13" i="6"/>
  <c r="K14" i="6"/>
  <c r="K15" i="6"/>
  <c r="K16" i="6"/>
  <c r="K17" i="6"/>
  <c r="K8" i="6"/>
  <c r="H9" i="6"/>
  <c r="H10" i="6"/>
  <c r="H11" i="6"/>
  <c r="H12" i="6"/>
  <c r="H13" i="6"/>
  <c r="H14" i="6"/>
  <c r="H15" i="6"/>
  <c r="H16" i="6"/>
  <c r="H17" i="6"/>
  <c r="H8" i="6"/>
  <c r="AC8" i="12"/>
  <c r="AC9" i="12"/>
  <c r="AC10" i="12"/>
  <c r="AC11" i="12"/>
  <c r="AC12" i="12"/>
  <c r="AC13" i="12"/>
  <c r="AC14" i="12"/>
  <c r="AC15" i="12"/>
  <c r="AC16" i="12"/>
  <c r="AC17" i="12"/>
  <c r="E9" i="12"/>
  <c r="E10" i="12"/>
  <c r="E11" i="12"/>
  <c r="E12" i="12"/>
  <c r="E13" i="12"/>
  <c r="E14" i="12"/>
  <c r="E15" i="12"/>
  <c r="E16" i="12"/>
  <c r="E17" i="12"/>
  <c r="E8" i="12"/>
  <c r="I9" i="12"/>
  <c r="J9" i="12" s="1"/>
  <c r="I10" i="12"/>
  <c r="I11" i="12"/>
  <c r="J11" i="12" s="1"/>
  <c r="I12" i="12"/>
  <c r="J12" i="12" s="1"/>
  <c r="I13" i="12"/>
  <c r="J13" i="12" s="1"/>
  <c r="I14" i="12"/>
  <c r="I15" i="12"/>
  <c r="J15" i="12" s="1"/>
  <c r="I16" i="12"/>
  <c r="I17" i="12"/>
  <c r="J17" i="12" s="1"/>
  <c r="I8" i="12"/>
  <c r="J8" i="12" s="1"/>
  <c r="I48" i="12"/>
  <c r="H9" i="12"/>
  <c r="U9" i="12" s="1"/>
  <c r="H10" i="12"/>
  <c r="U10" i="12" s="1"/>
  <c r="H11" i="12"/>
  <c r="U11" i="12" s="1"/>
  <c r="H12" i="12"/>
  <c r="M12" i="12" s="1"/>
  <c r="H13" i="12"/>
  <c r="M13" i="12" s="1"/>
  <c r="H14" i="12"/>
  <c r="U14" i="12" s="1"/>
  <c r="H15" i="12"/>
  <c r="M15" i="12" s="1"/>
  <c r="H16" i="12"/>
  <c r="U16" i="12" s="1"/>
  <c r="H17" i="12"/>
  <c r="U17" i="12" s="1"/>
  <c r="H8" i="12"/>
  <c r="K8" i="12" s="1"/>
  <c r="D10" i="11"/>
  <c r="D11" i="11"/>
  <c r="D12" i="11"/>
  <c r="D13" i="11"/>
  <c r="D14" i="11"/>
  <c r="D15" i="11"/>
  <c r="D16" i="11"/>
  <c r="D17" i="11"/>
  <c r="D18" i="11"/>
  <c r="D9" i="11"/>
  <c r="C10" i="11"/>
  <c r="C11" i="11"/>
  <c r="C12" i="11"/>
  <c r="C13" i="11"/>
  <c r="C14" i="11"/>
  <c r="C15" i="11"/>
  <c r="C16" i="11"/>
  <c r="C17" i="11"/>
  <c r="C18" i="11"/>
  <c r="C9" i="1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8" i="10"/>
  <c r="G8" i="10" s="1"/>
  <c r="I8" i="9"/>
  <c r="I12" i="9"/>
  <c r="G8" i="9"/>
  <c r="G9" i="9"/>
  <c r="G10" i="9"/>
  <c r="I10" i="9" s="1"/>
  <c r="G11" i="9"/>
  <c r="G12" i="9"/>
  <c r="J12" i="9" s="1"/>
  <c r="G13" i="9"/>
  <c r="G7" i="9"/>
  <c r="I7" i="9" s="1"/>
  <c r="H8" i="9"/>
  <c r="H9" i="9"/>
  <c r="H10" i="9"/>
  <c r="H11" i="9"/>
  <c r="H12" i="9"/>
  <c r="H13" i="9"/>
  <c r="H7" i="9"/>
  <c r="E8" i="9"/>
  <c r="E9" i="9"/>
  <c r="E10" i="9"/>
  <c r="E11" i="9"/>
  <c r="E12" i="9"/>
  <c r="E13" i="9"/>
  <c r="E7" i="9"/>
  <c r="K10" i="8"/>
  <c r="K11" i="8"/>
  <c r="K12" i="8"/>
  <c r="K13" i="8"/>
  <c r="K9" i="8"/>
  <c r="J10" i="8"/>
  <c r="J11" i="8"/>
  <c r="J12" i="8"/>
  <c r="J13" i="8"/>
  <c r="J9" i="8"/>
  <c r="I10" i="8"/>
  <c r="L10" i="8" s="1"/>
  <c r="N10" i="8" s="1"/>
  <c r="I11" i="8"/>
  <c r="L11" i="8" s="1"/>
  <c r="N11" i="8" s="1"/>
  <c r="I12" i="8"/>
  <c r="L12" i="8" s="1"/>
  <c r="N12" i="8" s="1"/>
  <c r="I13" i="8"/>
  <c r="L13" i="8" s="1"/>
  <c r="N13" i="8" s="1"/>
  <c r="I9" i="8"/>
  <c r="L9" i="8" s="1"/>
  <c r="N9" i="8" s="1"/>
  <c r="G9" i="8"/>
  <c r="G10" i="8"/>
  <c r="G11" i="8"/>
  <c r="G12" i="8"/>
  <c r="G13" i="8"/>
  <c r="E10" i="8"/>
  <c r="E11" i="8"/>
  <c r="E12" i="8"/>
  <c r="E13" i="8"/>
  <c r="E9" i="8"/>
  <c r="D10" i="8"/>
  <c r="D11" i="8"/>
  <c r="D12" i="8"/>
  <c r="D13" i="8"/>
  <c r="D9" i="8"/>
  <c r="H11" i="7"/>
  <c r="H12" i="7"/>
  <c r="H13" i="7"/>
  <c r="H14" i="7"/>
  <c r="H15" i="7"/>
  <c r="H16" i="7"/>
  <c r="H17" i="7"/>
  <c r="H18" i="7"/>
  <c r="H19" i="7"/>
  <c r="H10" i="7"/>
  <c r="D10" i="7"/>
  <c r="D11" i="7"/>
  <c r="D12" i="7"/>
  <c r="D13" i="7"/>
  <c r="D14" i="7"/>
  <c r="D15" i="7"/>
  <c r="D16" i="7"/>
  <c r="D17" i="7"/>
  <c r="D18" i="7"/>
  <c r="D19" i="7"/>
  <c r="L9" i="6"/>
  <c r="L10" i="6"/>
  <c r="L11" i="6"/>
  <c r="L12" i="6"/>
  <c r="L13" i="6"/>
  <c r="L14" i="6"/>
  <c r="L15" i="6"/>
  <c r="L16" i="6"/>
  <c r="L17" i="6"/>
  <c r="L8" i="6"/>
  <c r="J9" i="6"/>
  <c r="J10" i="6"/>
  <c r="J11" i="6"/>
  <c r="J12" i="6"/>
  <c r="J13" i="6"/>
  <c r="J14" i="6"/>
  <c r="J15" i="6"/>
  <c r="J16" i="6"/>
  <c r="J17" i="6"/>
  <c r="J8" i="6"/>
  <c r="F9" i="6"/>
  <c r="F10" i="6"/>
  <c r="F11" i="6"/>
  <c r="F12" i="6"/>
  <c r="F13" i="6"/>
  <c r="F14" i="6"/>
  <c r="F15" i="6"/>
  <c r="F16" i="6"/>
  <c r="F17" i="6"/>
  <c r="F8" i="6"/>
  <c r="G8" i="2"/>
  <c r="G9" i="2"/>
  <c r="G10" i="2"/>
  <c r="G11" i="2"/>
  <c r="G12" i="2"/>
  <c r="G13" i="2"/>
  <c r="G7" i="2"/>
  <c r="F8" i="2"/>
  <c r="F9" i="2"/>
  <c r="F10" i="2"/>
  <c r="F11" i="2"/>
  <c r="F12" i="2"/>
  <c r="F13" i="2"/>
  <c r="F7" i="2"/>
  <c r="H21" i="4"/>
  <c r="G21" i="4"/>
  <c r="F21" i="4"/>
  <c r="E21" i="4"/>
  <c r="H20" i="4"/>
  <c r="G20" i="4"/>
  <c r="F20" i="4"/>
  <c r="E20" i="4"/>
  <c r="I11" i="4"/>
  <c r="I12" i="4"/>
  <c r="I13" i="4"/>
  <c r="I14" i="4"/>
  <c r="I15" i="4"/>
  <c r="I16" i="4"/>
  <c r="I17" i="4"/>
  <c r="I18" i="4"/>
  <c r="I19" i="4"/>
  <c r="I10" i="4"/>
  <c r="H12" i="3"/>
  <c r="H14" i="3"/>
  <c r="G11" i="3"/>
  <c r="H11" i="3" s="1"/>
  <c r="G12" i="3"/>
  <c r="G13" i="3"/>
  <c r="H13" i="3" s="1"/>
  <c r="G14" i="3"/>
  <c r="G15" i="3"/>
  <c r="H15" i="3" s="1"/>
  <c r="G10" i="3"/>
  <c r="H10" i="3" s="1"/>
  <c r="F9" i="1"/>
  <c r="F10" i="1"/>
  <c r="F11" i="1"/>
  <c r="F12" i="1"/>
  <c r="F13" i="1"/>
  <c r="F14" i="1"/>
  <c r="F15" i="1"/>
  <c r="F16" i="1"/>
  <c r="F17" i="1"/>
  <c r="F8" i="1"/>
  <c r="J9" i="5"/>
  <c r="J10" i="5"/>
  <c r="J11" i="5"/>
  <c r="J12" i="5"/>
  <c r="J8" i="5"/>
  <c r="G9" i="5"/>
  <c r="H9" i="5" s="1"/>
  <c r="G10" i="5"/>
  <c r="H10" i="5" s="1"/>
  <c r="G11" i="5"/>
  <c r="H11" i="5" s="1"/>
  <c r="G12" i="5"/>
  <c r="H12" i="5" s="1"/>
  <c r="G8" i="5"/>
  <c r="H8" i="5" s="1"/>
  <c r="E8" i="5"/>
  <c r="E9" i="5"/>
  <c r="E10" i="5"/>
  <c r="E11" i="5"/>
  <c r="E12" i="5"/>
  <c r="E9" i="11"/>
  <c r="G9" i="11" s="1"/>
  <c r="E10" i="11"/>
  <c r="G10" i="11" s="1"/>
  <c r="E11" i="11"/>
  <c r="G11" i="11" s="1"/>
  <c r="E12" i="11"/>
  <c r="G12" i="11" s="1"/>
  <c r="E13" i="11"/>
  <c r="G13" i="11" s="1"/>
  <c r="E14" i="11"/>
  <c r="G14" i="11" s="1"/>
  <c r="E15" i="11"/>
  <c r="G15" i="11" s="1"/>
  <c r="E16" i="11"/>
  <c r="G16" i="11" s="1"/>
  <c r="E17" i="11"/>
  <c r="G17" i="11" s="1"/>
  <c r="E18" i="11"/>
  <c r="G18" i="11" s="1"/>
  <c r="E9" i="10"/>
  <c r="E10" i="10"/>
  <c r="E11" i="10"/>
  <c r="E12" i="10"/>
  <c r="E13" i="10"/>
  <c r="E14" i="10"/>
  <c r="E15" i="10"/>
  <c r="E16" i="10"/>
  <c r="E8" i="10"/>
  <c r="I38" i="4"/>
  <c r="F57" i="12"/>
  <c r="G57" i="12" s="1"/>
  <c r="N57" i="12" s="1"/>
  <c r="I57" i="12"/>
  <c r="E57" i="12"/>
  <c r="H57" i="12"/>
  <c r="F56" i="12"/>
  <c r="G56" i="12" s="1"/>
  <c r="I56" i="12"/>
  <c r="E56" i="12"/>
  <c r="H56" i="12"/>
  <c r="M56" i="12" s="1"/>
  <c r="F55" i="12"/>
  <c r="G55" i="12" s="1"/>
  <c r="N55" i="12" s="1"/>
  <c r="I55" i="12"/>
  <c r="E55" i="12"/>
  <c r="H55" i="12"/>
  <c r="K55" i="12" s="1"/>
  <c r="F54" i="12"/>
  <c r="G54" i="12" s="1"/>
  <c r="I54" i="12"/>
  <c r="E54" i="12"/>
  <c r="H54" i="12"/>
  <c r="F53" i="12"/>
  <c r="G53" i="12" s="1"/>
  <c r="I53" i="12"/>
  <c r="E53" i="12"/>
  <c r="H53" i="12"/>
  <c r="K53" i="12" s="1"/>
  <c r="F52" i="12"/>
  <c r="G52" i="12" s="1"/>
  <c r="I52" i="12"/>
  <c r="E52" i="12"/>
  <c r="H52" i="12"/>
  <c r="F51" i="12"/>
  <c r="G51" i="12" s="1"/>
  <c r="I51" i="12"/>
  <c r="E51" i="12"/>
  <c r="H51" i="12"/>
  <c r="F50" i="12"/>
  <c r="G50" i="12" s="1"/>
  <c r="I50" i="12"/>
  <c r="E50" i="12"/>
  <c r="H50" i="12"/>
  <c r="F49" i="12"/>
  <c r="G49" i="12" s="1"/>
  <c r="I49" i="12"/>
  <c r="E49" i="12"/>
  <c r="H49" i="12"/>
  <c r="F48" i="12"/>
  <c r="G48" i="12" s="1"/>
  <c r="N48" i="12" s="1"/>
  <c r="E48" i="12"/>
  <c r="H48" i="12"/>
  <c r="M48" i="12" s="1"/>
  <c r="AC57" i="12"/>
  <c r="AC56" i="12"/>
  <c r="AC55" i="12"/>
  <c r="AC54" i="12"/>
  <c r="AC53" i="12"/>
  <c r="AC52" i="12"/>
  <c r="AC51" i="12"/>
  <c r="AC50" i="12"/>
  <c r="AC49" i="12"/>
  <c r="AC48" i="12"/>
  <c r="E45" i="11"/>
  <c r="G45" i="11" s="1"/>
  <c r="E46" i="11"/>
  <c r="G46" i="11" s="1"/>
  <c r="E47" i="11"/>
  <c r="G47" i="11" s="1"/>
  <c r="E48" i="11"/>
  <c r="G48" i="11" s="1"/>
  <c r="E49" i="11"/>
  <c r="G49" i="11" s="1"/>
  <c r="E50" i="11"/>
  <c r="G50" i="11" s="1"/>
  <c r="E51" i="11"/>
  <c r="G51" i="11" s="1"/>
  <c r="E52" i="11"/>
  <c r="G52" i="11" s="1"/>
  <c r="E53" i="11"/>
  <c r="G53" i="11" s="1"/>
  <c r="E54" i="11"/>
  <c r="G54" i="11" s="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F50" i="10"/>
  <c r="G50" i="10" s="1"/>
  <c r="H50" i="10" s="1"/>
  <c r="I50" i="10" s="1"/>
  <c r="E50" i="10"/>
  <c r="F49" i="10"/>
  <c r="G49" i="10" s="1"/>
  <c r="H49" i="10" s="1"/>
  <c r="I49" i="10" s="1"/>
  <c r="E49" i="10"/>
  <c r="F48" i="10"/>
  <c r="G48" i="10" s="1"/>
  <c r="H48" i="10" s="1"/>
  <c r="I48" i="10" s="1"/>
  <c r="E48" i="10"/>
  <c r="F47" i="10"/>
  <c r="G47" i="10" s="1"/>
  <c r="E47" i="10"/>
  <c r="F46" i="10"/>
  <c r="G46" i="10" s="1"/>
  <c r="H46" i="10" s="1"/>
  <c r="I46" i="10" s="1"/>
  <c r="E46" i="10"/>
  <c r="F45" i="10"/>
  <c r="G45" i="10" s="1"/>
  <c r="H45" i="10" s="1"/>
  <c r="I45" i="10" s="1"/>
  <c r="E45" i="10"/>
  <c r="F44" i="10"/>
  <c r="G44" i="10" s="1"/>
  <c r="H44" i="10" s="1"/>
  <c r="I44" i="10" s="1"/>
  <c r="E44" i="10"/>
  <c r="F43" i="10"/>
  <c r="G43" i="10" s="1"/>
  <c r="E43" i="10"/>
  <c r="F42" i="10"/>
  <c r="G42" i="10" s="1"/>
  <c r="H42" i="10" s="1"/>
  <c r="I42" i="10" s="1"/>
  <c r="E42" i="10"/>
  <c r="G41" i="9"/>
  <c r="J41" i="9" s="1"/>
  <c r="H41" i="9"/>
  <c r="I41" i="9"/>
  <c r="E41" i="9"/>
  <c r="G40" i="9"/>
  <c r="H40" i="9"/>
  <c r="I40" i="9"/>
  <c r="E40" i="9"/>
  <c r="G39" i="9"/>
  <c r="I39" i="9" s="1"/>
  <c r="H39" i="9"/>
  <c r="E39" i="9"/>
  <c r="G38" i="9"/>
  <c r="H38" i="9"/>
  <c r="E38" i="9"/>
  <c r="G37" i="9"/>
  <c r="H37" i="9"/>
  <c r="I37" i="9"/>
  <c r="E37" i="9"/>
  <c r="G36" i="9"/>
  <c r="H36" i="9"/>
  <c r="I36" i="9"/>
  <c r="E36" i="9"/>
  <c r="G35" i="9"/>
  <c r="H35" i="9"/>
  <c r="I35" i="9"/>
  <c r="E35" i="9"/>
  <c r="H45" i="8"/>
  <c r="J45" i="8"/>
  <c r="M45" i="8"/>
  <c r="G45" i="8"/>
  <c r="F45" i="8"/>
  <c r="E45" i="8"/>
  <c r="D45" i="8"/>
  <c r="H44" i="8"/>
  <c r="I44" i="8"/>
  <c r="K44" i="8"/>
  <c r="M44" i="8"/>
  <c r="G44" i="8"/>
  <c r="F44" i="8"/>
  <c r="E44" i="8"/>
  <c r="D44" i="8"/>
  <c r="H43" i="8"/>
  <c r="I43" i="8"/>
  <c r="J43" i="8"/>
  <c r="M43" i="8"/>
  <c r="G43" i="8"/>
  <c r="F43" i="8"/>
  <c r="E43" i="8"/>
  <c r="D43" i="8"/>
  <c r="H42" i="8"/>
  <c r="I42" i="8"/>
  <c r="K42" i="8"/>
  <c r="M42" i="8"/>
  <c r="J42" i="8"/>
  <c r="G42" i="8"/>
  <c r="F42" i="8"/>
  <c r="E42" i="8"/>
  <c r="D42" i="8"/>
  <c r="H41" i="8"/>
  <c r="I41" i="8"/>
  <c r="K41" i="8"/>
  <c r="G41" i="8"/>
  <c r="F41" i="8"/>
  <c r="E41" i="8"/>
  <c r="D41" i="8"/>
  <c r="D41" i="7"/>
  <c r="D42" i="7"/>
  <c r="D43" i="7"/>
  <c r="D44" i="7"/>
  <c r="D45" i="7"/>
  <c r="D46" i="7"/>
  <c r="D47" i="7"/>
  <c r="D48" i="7"/>
  <c r="D49" i="7"/>
  <c r="D40" i="7"/>
  <c r="F49" i="7"/>
  <c r="H49" i="7"/>
  <c r="E49" i="7"/>
  <c r="F48" i="7"/>
  <c r="H48" i="7"/>
  <c r="E48" i="7"/>
  <c r="F47" i="7"/>
  <c r="H47" i="7"/>
  <c r="E47" i="7"/>
  <c r="F46" i="7"/>
  <c r="H46" i="7"/>
  <c r="E46" i="7"/>
  <c r="F45" i="7"/>
  <c r="H45" i="7"/>
  <c r="E45" i="7"/>
  <c r="F44" i="7"/>
  <c r="H44" i="7"/>
  <c r="E44" i="7"/>
  <c r="F43" i="7"/>
  <c r="H43" i="7"/>
  <c r="E43" i="7"/>
  <c r="F42" i="7"/>
  <c r="H42" i="7"/>
  <c r="E42" i="7"/>
  <c r="F41" i="7"/>
  <c r="H41" i="7"/>
  <c r="E41" i="7"/>
  <c r="F40" i="7"/>
  <c r="H40" i="7"/>
  <c r="E40" i="7"/>
  <c r="I35" i="6"/>
  <c r="L44" i="6"/>
  <c r="J44" i="6"/>
  <c r="I44" i="6"/>
  <c r="H44" i="6"/>
  <c r="F44" i="6"/>
  <c r="L43" i="6"/>
  <c r="J43" i="6"/>
  <c r="I43" i="6"/>
  <c r="H43" i="6"/>
  <c r="F43" i="6"/>
  <c r="L42" i="6"/>
  <c r="J42" i="6"/>
  <c r="H42" i="6"/>
  <c r="I42" i="6" s="1"/>
  <c r="F42" i="6"/>
  <c r="L41" i="6"/>
  <c r="J41" i="6"/>
  <c r="I41" i="6"/>
  <c r="H41" i="6"/>
  <c r="F41" i="6"/>
  <c r="L40" i="6"/>
  <c r="J40" i="6"/>
  <c r="I40" i="6"/>
  <c r="H40" i="6"/>
  <c r="F40" i="6"/>
  <c r="L39" i="6"/>
  <c r="J39" i="6"/>
  <c r="H39" i="6"/>
  <c r="I39" i="6" s="1"/>
  <c r="F39" i="6"/>
  <c r="L38" i="6"/>
  <c r="J38" i="6"/>
  <c r="I38" i="6"/>
  <c r="H38" i="6"/>
  <c r="F38" i="6"/>
  <c r="L37" i="6"/>
  <c r="J37" i="6"/>
  <c r="I37" i="6"/>
  <c r="H37" i="6"/>
  <c r="F37" i="6"/>
  <c r="L36" i="6"/>
  <c r="J36" i="6"/>
  <c r="H36" i="6"/>
  <c r="I36" i="6" s="1"/>
  <c r="F36" i="6"/>
  <c r="L35" i="6"/>
  <c r="J35" i="6"/>
  <c r="H35" i="6"/>
  <c r="F35" i="6"/>
  <c r="J37" i="5"/>
  <c r="F37" i="5"/>
  <c r="G37" i="5"/>
  <c r="H37" i="5"/>
  <c r="E37" i="5"/>
  <c r="J36" i="5"/>
  <c r="F36" i="5"/>
  <c r="G36" i="5"/>
  <c r="H36" i="5"/>
  <c r="E36" i="5"/>
  <c r="J35" i="5"/>
  <c r="F35" i="5"/>
  <c r="G35" i="5"/>
  <c r="H35" i="5"/>
  <c r="E35" i="5"/>
  <c r="J34" i="5"/>
  <c r="F34" i="5"/>
  <c r="G34" i="5"/>
  <c r="H34" i="5"/>
  <c r="E34" i="5"/>
  <c r="J33" i="5"/>
  <c r="F33" i="5"/>
  <c r="G33" i="5"/>
  <c r="H33" i="5"/>
  <c r="E33" i="5"/>
  <c r="H48" i="4"/>
  <c r="H49" i="4"/>
  <c r="G48" i="4"/>
  <c r="G49" i="4"/>
  <c r="F48" i="4"/>
  <c r="F49" i="4"/>
  <c r="E48" i="4"/>
  <c r="E49" i="4"/>
  <c r="I39" i="4"/>
  <c r="I40" i="4"/>
  <c r="I41" i="4"/>
  <c r="I42" i="4"/>
  <c r="I43" i="4"/>
  <c r="I44" i="4"/>
  <c r="I45" i="4"/>
  <c r="I46" i="4"/>
  <c r="I47" i="4"/>
  <c r="G32" i="3"/>
  <c r="H32" i="3"/>
  <c r="G33" i="3"/>
  <c r="H33" i="3"/>
  <c r="H38" i="3"/>
  <c r="G34" i="3"/>
  <c r="H34" i="3"/>
  <c r="G35" i="3"/>
  <c r="H35" i="3"/>
  <c r="G36" i="3"/>
  <c r="H36" i="3"/>
  <c r="G37" i="3"/>
  <c r="H37" i="3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J37" i="9"/>
  <c r="M41" i="8"/>
  <c r="J41" i="8"/>
  <c r="L41" i="8"/>
  <c r="N41" i="8"/>
  <c r="K43" i="8"/>
  <c r="J44" i="8"/>
  <c r="L44" i="8"/>
  <c r="N44" i="8"/>
  <c r="L43" i="8"/>
  <c r="N43" i="8"/>
  <c r="M52" i="12"/>
  <c r="L42" i="8"/>
  <c r="N42" i="8"/>
  <c r="I45" i="8"/>
  <c r="K45" i="8"/>
  <c r="I38" i="9"/>
  <c r="J38" i="9" s="1"/>
  <c r="J40" i="9"/>
  <c r="L48" i="12"/>
  <c r="L52" i="12"/>
  <c r="L45" i="8"/>
  <c r="N45" i="8"/>
  <c r="U8" i="12" l="1"/>
  <c r="U12" i="12"/>
  <c r="U15" i="12"/>
  <c r="U13" i="12"/>
  <c r="N49" i="12"/>
  <c r="J50" i="12"/>
  <c r="N50" i="12"/>
  <c r="J51" i="12"/>
  <c r="N51" i="12"/>
  <c r="N53" i="12"/>
  <c r="N54" i="12"/>
  <c r="N52" i="12"/>
  <c r="M54" i="12"/>
  <c r="L55" i="12"/>
  <c r="J55" i="12"/>
  <c r="O55" i="12" s="1"/>
  <c r="Z55" i="12" s="1"/>
  <c r="AB55" i="12" s="1"/>
  <c r="J56" i="12"/>
  <c r="N56" i="12"/>
  <c r="J57" i="12"/>
  <c r="L54" i="12"/>
  <c r="K50" i="12"/>
  <c r="L50" i="12"/>
  <c r="K51" i="12"/>
  <c r="L53" i="12"/>
  <c r="J53" i="12"/>
  <c r="K56" i="12"/>
  <c r="K57" i="12"/>
  <c r="N8" i="12"/>
  <c r="N14" i="12"/>
  <c r="N12" i="12"/>
  <c r="N10" i="12"/>
  <c r="N13" i="12"/>
  <c r="N11" i="12"/>
  <c r="N9" i="12"/>
  <c r="G55" i="11"/>
  <c r="G19" i="11"/>
  <c r="L49" i="12"/>
  <c r="M50" i="12"/>
  <c r="L51" i="12"/>
  <c r="K52" i="12"/>
  <c r="M53" i="12"/>
  <c r="K54" i="12"/>
  <c r="M55" i="12"/>
  <c r="L56" i="12"/>
  <c r="L57" i="12"/>
  <c r="J48" i="12"/>
  <c r="K13" i="12"/>
  <c r="L8" i="12"/>
  <c r="L13" i="12"/>
  <c r="M8" i="12"/>
  <c r="M16" i="12"/>
  <c r="M14" i="12"/>
  <c r="M10" i="12"/>
  <c r="K15" i="12"/>
  <c r="K12" i="12"/>
  <c r="L15" i="12"/>
  <c r="L12" i="12"/>
  <c r="M51" i="12"/>
  <c r="K9" i="12"/>
  <c r="L17" i="12"/>
  <c r="L11" i="12"/>
  <c r="M9" i="12"/>
  <c r="J54" i="12"/>
  <c r="J52" i="12"/>
  <c r="K48" i="12"/>
  <c r="K17" i="12"/>
  <c r="K11" i="12"/>
  <c r="L9" i="12"/>
  <c r="M17" i="12"/>
  <c r="M11" i="12"/>
  <c r="J16" i="12"/>
  <c r="J14" i="12"/>
  <c r="J10" i="12"/>
  <c r="M49" i="12"/>
  <c r="K49" i="12"/>
  <c r="J49" i="12"/>
  <c r="K16" i="12"/>
  <c r="K14" i="12"/>
  <c r="K10" i="12"/>
  <c r="L16" i="12"/>
  <c r="L14" i="12"/>
  <c r="L10" i="12"/>
  <c r="H47" i="10"/>
  <c r="I47" i="10" s="1"/>
  <c r="H8" i="10"/>
  <c r="H15" i="10"/>
  <c r="I15" i="10" s="1"/>
  <c r="H13" i="10"/>
  <c r="I13" i="10" s="1"/>
  <c r="H11" i="10"/>
  <c r="I11" i="10" s="1"/>
  <c r="H9" i="10"/>
  <c r="I9" i="10" s="1"/>
  <c r="H43" i="10"/>
  <c r="I43" i="10" s="1"/>
  <c r="H16" i="10"/>
  <c r="I16" i="10" s="1"/>
  <c r="H14" i="10"/>
  <c r="I14" i="10" s="1"/>
  <c r="H12" i="10"/>
  <c r="I12" i="10" s="1"/>
  <c r="H10" i="10"/>
  <c r="I10" i="10" s="1"/>
  <c r="J39" i="9"/>
  <c r="J35" i="9"/>
  <c r="J8" i="9"/>
  <c r="J36" i="9"/>
  <c r="I13" i="9"/>
  <c r="J13" i="9" s="1"/>
  <c r="I11" i="9"/>
  <c r="J11" i="9" s="1"/>
  <c r="I9" i="9"/>
  <c r="J9" i="9" s="1"/>
  <c r="J7" i="9"/>
  <c r="J10" i="9"/>
  <c r="H16" i="3"/>
  <c r="O13" i="12" l="1"/>
  <c r="O57" i="12"/>
  <c r="Z57" i="12" s="1"/>
  <c r="AB57" i="12" s="1"/>
  <c r="V13" i="12"/>
  <c r="O15" i="12"/>
  <c r="O8" i="12"/>
  <c r="O12" i="12"/>
  <c r="O56" i="12"/>
  <c r="Z56" i="12" s="1"/>
  <c r="AB56" i="12" s="1"/>
  <c r="O53" i="12"/>
  <c r="Z53" i="12" s="1"/>
  <c r="O50" i="12"/>
  <c r="Z50" i="12" s="1"/>
  <c r="AB50" i="12" s="1"/>
  <c r="O54" i="12"/>
  <c r="Z54" i="12" s="1"/>
  <c r="AB54" i="12" s="1"/>
  <c r="O11" i="12"/>
  <c r="O48" i="12"/>
  <c r="Z48" i="12" s="1"/>
  <c r="AB48" i="12" s="1"/>
  <c r="O9" i="12"/>
  <c r="O17" i="12"/>
  <c r="O49" i="12"/>
  <c r="Z49" i="12" s="1"/>
  <c r="AB49" i="12" s="1"/>
  <c r="O16" i="12"/>
  <c r="O51" i="12"/>
  <c r="Z51" i="12" s="1"/>
  <c r="AB51" i="12" s="1"/>
  <c r="O52" i="12"/>
  <c r="Z52" i="12" s="1"/>
  <c r="AB52" i="12" s="1"/>
  <c r="O10" i="12"/>
  <c r="O14" i="12"/>
  <c r="AB53" i="12" l="1"/>
  <c r="X13" i="12"/>
  <c r="Y13" i="12"/>
  <c r="W13" i="12"/>
  <c r="V14" i="12"/>
  <c r="V16" i="12"/>
  <c r="V9" i="12"/>
  <c r="V11" i="12"/>
  <c r="V10" i="12"/>
  <c r="V17" i="12"/>
  <c r="V15" i="12"/>
  <c r="V8" i="12"/>
  <c r="V12" i="12"/>
  <c r="Z13" i="12" l="1"/>
  <c r="AA13" i="12" s="1"/>
  <c r="X8" i="12"/>
  <c r="Y8" i="12"/>
  <c r="W8" i="12"/>
  <c r="Z8" i="12" s="1"/>
  <c r="AA8" i="12" s="1"/>
  <c r="X12" i="12"/>
  <c r="Y12" i="12"/>
  <c r="W12" i="12"/>
  <c r="X15" i="12"/>
  <c r="Y15" i="12"/>
  <c r="W15" i="12"/>
  <c r="Z15" i="12" s="1"/>
  <c r="AA15" i="12" s="1"/>
  <c r="X10" i="12"/>
  <c r="Y10" i="12"/>
  <c r="W10" i="12"/>
  <c r="X9" i="12"/>
  <c r="Y9" i="12"/>
  <c r="W9" i="12"/>
  <c r="X14" i="12"/>
  <c r="Y14" i="12"/>
  <c r="W14" i="12"/>
  <c r="Z14" i="12" s="1"/>
  <c r="AA14" i="12" s="1"/>
  <c r="X17" i="12"/>
  <c r="Y17" i="12"/>
  <c r="W17" i="12"/>
  <c r="Z17" i="12" s="1"/>
  <c r="AA17" i="12" s="1"/>
  <c r="X11" i="12"/>
  <c r="Y11" i="12"/>
  <c r="W11" i="12"/>
  <c r="Z11" i="12" s="1"/>
  <c r="AA11" i="12" s="1"/>
  <c r="X16" i="12"/>
  <c r="Y16" i="12"/>
  <c r="W16" i="12"/>
  <c r="Z12" i="12" l="1"/>
  <c r="AA12" i="12" s="1"/>
  <c r="Z16" i="12"/>
  <c r="AA16" i="12" s="1"/>
  <c r="Z9" i="12"/>
  <c r="AA9" i="12" s="1"/>
  <c r="Z10" i="12"/>
  <c r="AA10" i="12" s="1"/>
</calcChain>
</file>

<file path=xl/sharedStrings.xml><?xml version="1.0" encoding="utf-8"?>
<sst xmlns="http://schemas.openxmlformats.org/spreadsheetml/2006/main" count="938" uniqueCount="425">
  <si>
    <t>INVENTARISASI BARANG LAYAK JUAL</t>
  </si>
  <si>
    <t>PT. HEGAR MANAH</t>
  </si>
  <si>
    <t>No.</t>
  </si>
  <si>
    <t>Kode Barang</t>
  </si>
  <si>
    <t>Jumlah Produksi</t>
  </si>
  <si>
    <t>Jumlah Rusak</t>
  </si>
  <si>
    <t>Prosentase kerusakan</t>
  </si>
  <si>
    <t>FXZ-1</t>
  </si>
  <si>
    <t>7,5%</t>
  </si>
  <si>
    <t>FXZ-2</t>
  </si>
  <si>
    <t>6,7%</t>
  </si>
  <si>
    <t>FXZ-3</t>
  </si>
  <si>
    <t>4,2%</t>
  </si>
  <si>
    <t>FXZ-4</t>
  </si>
  <si>
    <t>3,1%</t>
  </si>
  <si>
    <t>FXZ-5</t>
  </si>
  <si>
    <t>2,8%</t>
  </si>
  <si>
    <t>FXZ-6</t>
  </si>
  <si>
    <t>0,6%</t>
  </si>
  <si>
    <t>FXZ-7</t>
  </si>
  <si>
    <t>7,1%</t>
  </si>
  <si>
    <t>FXZ-8</t>
  </si>
  <si>
    <t>5,7%</t>
  </si>
  <si>
    <t>FXZ-9</t>
  </si>
  <si>
    <t>8,1%</t>
  </si>
  <si>
    <t>FXZ-10</t>
  </si>
  <si>
    <t>2,4%</t>
  </si>
  <si>
    <t>Daftar Nilai Ujian Ms. Excel</t>
  </si>
  <si>
    <t>Jumlah</t>
  </si>
  <si>
    <t>Rata-Rata</t>
  </si>
  <si>
    <t>Nilai Teori</t>
  </si>
  <si>
    <t>Nilai Praktek 1</t>
  </si>
  <si>
    <t>Nilai Praktek 2</t>
  </si>
  <si>
    <t>Jumlah Nilai</t>
  </si>
  <si>
    <t>CATATAN PENDAPATAN PENJUALAN</t>
  </si>
  <si>
    <t>Tanggal</t>
  </si>
  <si>
    <t>Prosentase Keuntungan</t>
  </si>
  <si>
    <t>Nama Barang</t>
  </si>
  <si>
    <t>Quantity</t>
  </si>
  <si>
    <t>Harga Satuan</t>
  </si>
  <si>
    <t>Jumlah Harga</t>
  </si>
  <si>
    <t>Keuntungan</t>
  </si>
  <si>
    <t>M01</t>
  </si>
  <si>
    <t>Indomie Goreng</t>
  </si>
  <si>
    <t>S01</t>
  </si>
  <si>
    <t>Sarden Kecil</t>
  </si>
  <si>
    <t>K01</t>
  </si>
  <si>
    <t>Korned Besar</t>
  </si>
  <si>
    <t>G01</t>
  </si>
  <si>
    <t>Gula Putih Kasar</t>
  </si>
  <si>
    <t>M12</t>
  </si>
  <si>
    <t>Mie Rebus</t>
  </si>
  <si>
    <t>N11</t>
  </si>
  <si>
    <t>Minyak Goreng Bimoli</t>
  </si>
  <si>
    <t>Total………………………………………………………….</t>
  </si>
  <si>
    <t>Ketentuan:</t>
  </si>
  <si>
    <t>Jumlah harga = Quantity * Satuan</t>
  </si>
  <si>
    <t>Keuntunan = Jumlah Harga * Prosentase Keuntungan</t>
  </si>
  <si>
    <t>HASIL PEMERIKSAAN DATA PENJUALAN PT. HEGAR</t>
  </si>
  <si>
    <t>No</t>
  </si>
  <si>
    <t>Hari</t>
  </si>
  <si>
    <t>Kode Pos Barang</t>
  </si>
  <si>
    <t>Stok Barang</t>
  </si>
  <si>
    <t>P01</t>
  </si>
  <si>
    <t>P02</t>
  </si>
  <si>
    <t>P03</t>
  </si>
  <si>
    <t>P04</t>
  </si>
  <si>
    <t>Stok Barang Lalu……………………………………………</t>
  </si>
  <si>
    <t>Jumat</t>
  </si>
  <si>
    <t>Sabtu</t>
  </si>
  <si>
    <t>Selasa</t>
  </si>
  <si>
    <t>Rabu</t>
  </si>
  <si>
    <t>Kamis</t>
  </si>
  <si>
    <t>Jumlahkan untuk masing-masing POS Barang</t>
  </si>
  <si>
    <t>Cari rata-rata masing-masing POS Barang</t>
  </si>
  <si>
    <t>Jumlah Nilai = Nilai Teori + Praktek1 + Praktek2</t>
  </si>
  <si>
    <t>Cari Rata-Rata Nilai</t>
  </si>
  <si>
    <t>Nama</t>
  </si>
  <si>
    <t>Kode</t>
  </si>
  <si>
    <t>Jabatan</t>
  </si>
  <si>
    <t>Gaji</t>
  </si>
  <si>
    <t>Tunjangan</t>
  </si>
  <si>
    <t>Status</t>
  </si>
  <si>
    <t>Keterangan</t>
  </si>
  <si>
    <t>Indra Saputra</t>
  </si>
  <si>
    <t>D</t>
  </si>
  <si>
    <t>T</t>
  </si>
  <si>
    <t>Ciris Fitriani</t>
  </si>
  <si>
    <t>S</t>
  </si>
  <si>
    <t>K</t>
  </si>
  <si>
    <t>Agit Futria</t>
  </si>
  <si>
    <t>P</t>
  </si>
  <si>
    <t>Ramadhani</t>
  </si>
  <si>
    <t>Putri Safitri</t>
  </si>
  <si>
    <t>Daftar Gaji Karyawan</t>
  </si>
  <si>
    <t>PT. Hegar Manah</t>
  </si>
  <si>
    <t>Jabatan:</t>
  </si>
  <si>
    <t>Gaji:</t>
  </si>
  <si>
    <t>Tunjangan:</t>
  </si>
  <si>
    <t xml:space="preserve">   Diperoleh 10% dari Gaji</t>
  </si>
  <si>
    <t>Jumlah:</t>
  </si>
  <si>
    <t xml:space="preserve">   Gaji + Tunjangan</t>
  </si>
  <si>
    <t>Keterangan:</t>
  </si>
  <si>
    <t xml:space="preserve">   Jika Status = K maka Kawin</t>
  </si>
  <si>
    <t xml:space="preserve">   Jika Status = T maka Tdk. Kawin</t>
  </si>
  <si>
    <t xml:space="preserve">   Jika Kode = P maka PresDir</t>
  </si>
  <si>
    <t xml:space="preserve">   Jika Kode = D maka Direktur</t>
  </si>
  <si>
    <t xml:space="preserve">   Jika Kode = S maka Staff</t>
  </si>
  <si>
    <t>DATA INAP TAMU</t>
  </si>
  <si>
    <t>LOSMEN CINTA LAKSANA</t>
  </si>
  <si>
    <t>N0.</t>
  </si>
  <si>
    <t>Tanggal Masuk</t>
  </si>
  <si>
    <t>Nama Pelanggan</t>
  </si>
  <si>
    <t>Lama Inap</t>
  </si>
  <si>
    <t>Tanggal Keluar</t>
  </si>
  <si>
    <t>Jenis Kamar</t>
  </si>
  <si>
    <t>Tarip per Hari</t>
  </si>
  <si>
    <t>Tarip Tambahan</t>
  </si>
  <si>
    <t>Fasilitas Tambahan</t>
  </si>
  <si>
    <t>Bonus</t>
  </si>
  <si>
    <t>Bayu Mulia</t>
  </si>
  <si>
    <t>STD</t>
  </si>
  <si>
    <t>Wawan Setiawan</t>
  </si>
  <si>
    <t>LUX</t>
  </si>
  <si>
    <t>Cris Fitriani</t>
  </si>
  <si>
    <t>Iman Lukman</t>
  </si>
  <si>
    <t>Rani Noviawaty</t>
  </si>
  <si>
    <t>Tantan Sutarman</t>
  </si>
  <si>
    <t>Asep Adoet</t>
  </si>
  <si>
    <t>Selvi Safitri</t>
  </si>
  <si>
    <t>Elia Novatriani</t>
  </si>
  <si>
    <t>Agus Rokhman</t>
  </si>
  <si>
    <t>Tarip Per Hari :</t>
  </si>
  <si>
    <r>
      <t>Total</t>
    </r>
    <r>
      <rPr>
        <sz val="10"/>
        <rFont val="Bookman Old Style"/>
        <family val="1"/>
      </rPr>
      <t xml:space="preserve"> …………………………………………………………………………………….</t>
    </r>
  </si>
  <si>
    <t>Fasilitas Tambahan ditentukan:</t>
  </si>
  <si>
    <t>*  Jika Jenis Kamar STD Fasilitas Tambahan = Makan Pagi</t>
  </si>
  <si>
    <t>*  Jika Jenis Kamar LUX Fasilitas Tambahan = Makan Pagi &amp; Malam</t>
  </si>
  <si>
    <r>
      <t xml:space="preserve">Tanggal Keluar </t>
    </r>
    <r>
      <rPr>
        <sz val="9"/>
        <rFont val="Book Antiqua"/>
        <family val="1"/>
      </rPr>
      <t>= Tanggal Masuk + Lama Inap</t>
    </r>
  </si>
  <si>
    <r>
      <t>Bonus Voucher 20%</t>
    </r>
    <r>
      <rPr>
        <sz val="9"/>
        <rFont val="Book Antiqua"/>
        <family val="1"/>
      </rPr>
      <t xml:space="preserve"> bagi yang menginap </t>
    </r>
    <r>
      <rPr>
        <b/>
        <sz val="9"/>
        <rFont val="Book Antiqua"/>
        <family val="1"/>
      </rPr>
      <t>&gt;3 hari</t>
    </r>
  </si>
  <si>
    <r>
      <t>Tarip Tambahan</t>
    </r>
    <r>
      <rPr>
        <sz val="9"/>
        <rFont val="Book Antiqua"/>
        <family val="1"/>
      </rPr>
      <t xml:space="preserve"> dikenakan bagi tamu yang menginap </t>
    </r>
    <r>
      <rPr>
        <b/>
        <sz val="9"/>
        <rFont val="Book Antiqua"/>
        <family val="1"/>
      </rPr>
      <t>&lt;2 hari</t>
    </r>
  </si>
  <si>
    <t>DAFTAR PEMBAYARAN UANG KULIAH</t>
  </si>
  <si>
    <t>UNIVERSITAS "Panca Sakti"</t>
  </si>
  <si>
    <t>N0</t>
  </si>
  <si>
    <t>Nomor Pokok</t>
  </si>
  <si>
    <t>Jurusan</t>
  </si>
  <si>
    <t>Angkatan</t>
  </si>
  <si>
    <t>Biaya Per SKS</t>
  </si>
  <si>
    <t>Jumlah SKS</t>
  </si>
  <si>
    <t>Jumlah Biaya</t>
  </si>
  <si>
    <t>TA89105</t>
  </si>
  <si>
    <t>TS80901</t>
  </si>
  <si>
    <t>HK87089</t>
  </si>
  <si>
    <t>EK88056</t>
  </si>
  <si>
    <t>SP87005</t>
  </si>
  <si>
    <t>TS89004</t>
  </si>
  <si>
    <t>HK88086</t>
  </si>
  <si>
    <t>SP90081</t>
  </si>
  <si>
    <t>TA88022</t>
  </si>
  <si>
    <t>HK87103</t>
  </si>
  <si>
    <t>*   Jika KODE = EK maka  Ekonomi</t>
  </si>
  <si>
    <t>*   Jika KODE = HK maka  Hukum</t>
  </si>
  <si>
    <t>*   Jika KODE = SP maka  Sosial Politik</t>
  </si>
  <si>
    <t>*   Jika KODE = TA maka  Tek. Arsitektur</t>
  </si>
  <si>
    <t>*   Jika KODE = TS maka  Tek. Sipil</t>
  </si>
  <si>
    <t>Jurusan (karakter ke 1 dan 2 No.Pokok):</t>
  </si>
  <si>
    <t>Biaya Per SKS (karakter ke 1 dan 2 No.Pokok):</t>
  </si>
  <si>
    <r>
      <t>Angkatan</t>
    </r>
    <r>
      <rPr>
        <sz val="9"/>
        <rFont val="Book Antiqua"/>
        <family val="1"/>
      </rPr>
      <t xml:space="preserve"> (karakter 3 dan 4 KODE) tampilkan dalam </t>
    </r>
    <r>
      <rPr>
        <b/>
        <sz val="9"/>
        <rFont val="Book Antiqua"/>
        <family val="1"/>
      </rPr>
      <t>format 1900</t>
    </r>
  </si>
  <si>
    <r>
      <t xml:space="preserve">Jumlah Biaya = </t>
    </r>
    <r>
      <rPr>
        <sz val="9"/>
        <rFont val="Book Antiqua"/>
        <family val="1"/>
      </rPr>
      <t>Biaya Per SKS * Jumlah SKS</t>
    </r>
  </si>
  <si>
    <t>REKAP GAJI KARYAWAN</t>
  </si>
  <si>
    <t>CV. PUTRI FITRIANI</t>
  </si>
  <si>
    <t>Kode Pegawai</t>
  </si>
  <si>
    <t>Nama Pegawai</t>
  </si>
  <si>
    <t>Thn. Masuk</t>
  </si>
  <si>
    <t>Gaji Pokok</t>
  </si>
  <si>
    <t>Gaji Kotor</t>
  </si>
  <si>
    <t>PPh</t>
  </si>
  <si>
    <t>Gaji Bersih</t>
  </si>
  <si>
    <t>Keluarga</t>
  </si>
  <si>
    <t>Kesehatan</t>
  </si>
  <si>
    <t>K90AD3</t>
  </si>
  <si>
    <t>T85KB2</t>
  </si>
  <si>
    <t>K89ST4</t>
  </si>
  <si>
    <t>K92KB3</t>
  </si>
  <si>
    <t>K89PD1</t>
  </si>
  <si>
    <t>Gol</t>
  </si>
  <si>
    <t>*  Jika KODE = K maka Kawin</t>
  </si>
  <si>
    <t>*  Jika KODE = T maka Tidak Kawin</t>
  </si>
  <si>
    <r>
      <t xml:space="preserve">Status </t>
    </r>
    <r>
      <rPr>
        <sz val="9"/>
        <rFont val="Book Antiqua"/>
        <family val="1"/>
      </rPr>
      <t>(karakter ke-1 KODE) :</t>
    </r>
  </si>
  <si>
    <r>
      <t xml:space="preserve">Golongan </t>
    </r>
    <r>
      <rPr>
        <sz val="9"/>
        <rFont val="Book Antiqua"/>
        <family val="1"/>
      </rPr>
      <t>(karakter terakhir KODE)</t>
    </r>
  </si>
  <si>
    <r>
      <t xml:space="preserve">Jabatan </t>
    </r>
    <r>
      <rPr>
        <sz val="9"/>
        <rFont val="Book Antiqua"/>
        <family val="1"/>
      </rPr>
      <t>(karakter 4 dan 5 KODE):</t>
    </r>
  </si>
  <si>
    <t>*  Jika KODE = KB maka Ka. Bagian</t>
  </si>
  <si>
    <t>*  Jika KODE = ST maka Presiden Staff</t>
  </si>
  <si>
    <t>*  Jika KODE = PD maka Pres. Dir.</t>
  </si>
  <si>
    <t>*  Jika KODE = AD maka Presiden Administrasi</t>
  </si>
  <si>
    <r>
      <t xml:space="preserve">Gaji Pokok </t>
    </r>
    <r>
      <rPr>
        <sz val="9"/>
        <rFont val="Book Antiqua"/>
        <family val="1"/>
      </rPr>
      <t>(karakter 4 dan 5 KODE):</t>
    </r>
  </si>
  <si>
    <t>Tunjangan Jabatan:</t>
  </si>
  <si>
    <t>*  Jika Gol = 1 maka 10 % dari Gaji Pokok</t>
  </si>
  <si>
    <t>Tunjangan Keluarga:</t>
  </si>
  <si>
    <t>*  Jika Status = Kawin maka 5 % dari Gaji Pokok</t>
  </si>
  <si>
    <t>*  Jika Status = Tidak Kawin maka tidak mendapat tunjangan</t>
  </si>
  <si>
    <r>
      <t xml:space="preserve">Tunjangan Kesehatan </t>
    </r>
    <r>
      <rPr>
        <sz val="9"/>
        <rFont val="Book Antiqua"/>
        <family val="1"/>
      </rPr>
      <t>3% dari Gaji Pokok</t>
    </r>
  </si>
  <si>
    <r>
      <t xml:space="preserve">Gaji Kotor </t>
    </r>
    <r>
      <rPr>
        <sz val="9"/>
        <rFont val="Book Antiqua"/>
        <family val="1"/>
      </rPr>
      <t>= Gaji Pokok + Tunjangan-tunjangan</t>
    </r>
  </si>
  <si>
    <r>
      <t xml:space="preserve">Gaji Bersih </t>
    </r>
    <r>
      <rPr>
        <sz val="9"/>
        <rFont val="Book Antiqua"/>
        <family val="1"/>
      </rPr>
      <t>= Gaji Kotor - PPH</t>
    </r>
  </si>
  <si>
    <t>DAFTAR GAJI KARYAWAN</t>
  </si>
  <si>
    <t>Nama Karyawan</t>
  </si>
  <si>
    <t>Jumlah Anak</t>
  </si>
  <si>
    <t>Tunjangan Anak</t>
  </si>
  <si>
    <t>Tunjangan Keluarga</t>
  </si>
  <si>
    <t>Total Pendapatan</t>
  </si>
  <si>
    <t>Tabel I</t>
  </si>
  <si>
    <t>Tabel II</t>
  </si>
  <si>
    <t>Persentasi</t>
  </si>
  <si>
    <t>*  Jika Status = K maka Kawin</t>
  </si>
  <si>
    <t>*  Jika Status = T maka Tidak Kawin</t>
  </si>
  <si>
    <t>Tunjangan Anak:</t>
  </si>
  <si>
    <t>*  Jika Jumlah Anak &gt; 0 maka Jml Anak * Tunjangan dalam tabel</t>
  </si>
  <si>
    <t>*  Jika Jumlah Anak = 0 maka tidak mendapat tunjangan</t>
  </si>
  <si>
    <t>*  Jika Status = T maka tidak mendapat tunjangan</t>
  </si>
  <si>
    <t>*  Jika Status = K maka Gaji Pokok * Tunjangan dalam Tabel II</t>
  </si>
  <si>
    <t>Total Pendapatan:</t>
  </si>
  <si>
    <t>Gaji Pokok + Semua Tunjangan</t>
  </si>
  <si>
    <t>DAFTAR PENJUALAN</t>
  </si>
  <si>
    <t>PT.BINTANG PRATAMA</t>
  </si>
  <si>
    <t>M103</t>
  </si>
  <si>
    <t>M104</t>
  </si>
  <si>
    <t>M105</t>
  </si>
  <si>
    <t>M101</t>
  </si>
  <si>
    <t>M102</t>
  </si>
  <si>
    <t>M115</t>
  </si>
  <si>
    <t>Jumlah Unit</t>
  </si>
  <si>
    <t>Harga Total</t>
  </si>
  <si>
    <t>Diskon</t>
  </si>
  <si>
    <t>Nilai Bersih</t>
  </si>
  <si>
    <t>Tabel Kode Barang</t>
  </si>
  <si>
    <t>Buku</t>
  </si>
  <si>
    <t>Kertas</t>
  </si>
  <si>
    <t>Tinta</t>
  </si>
  <si>
    <t>Spidol</t>
  </si>
  <si>
    <t>Pensil</t>
  </si>
  <si>
    <t xml:space="preserve">DAFTAR PEMBAYARAN UANG KULIAH </t>
  </si>
  <si>
    <t>UNIVERSITAS "PANCASAKTI"</t>
  </si>
  <si>
    <t>TS90101</t>
  </si>
  <si>
    <t>TOTAL</t>
  </si>
  <si>
    <t>EK</t>
  </si>
  <si>
    <t>87</t>
  </si>
  <si>
    <t>HK</t>
  </si>
  <si>
    <t>88</t>
  </si>
  <si>
    <t>SP</t>
  </si>
  <si>
    <t>89</t>
  </si>
  <si>
    <t>TA</t>
  </si>
  <si>
    <t>90</t>
  </si>
  <si>
    <t>TS</t>
  </si>
  <si>
    <t>Tabel Kode Jurusan</t>
  </si>
  <si>
    <t>Kode Jurusan</t>
  </si>
  <si>
    <t>Tabel Th. Angkatan</t>
  </si>
  <si>
    <t>Ekonomi</t>
  </si>
  <si>
    <t>Hukum</t>
  </si>
  <si>
    <t>Sosial Politik</t>
  </si>
  <si>
    <t>Tek. Arsitektur</t>
  </si>
  <si>
    <t>Tek. Sipil</t>
  </si>
  <si>
    <r>
      <t xml:space="preserve">Gaji Pokok </t>
    </r>
    <r>
      <rPr>
        <sz val="9"/>
        <rFont val="Book Antiqua"/>
        <family val="1"/>
      </rPr>
      <t>= gunakan fungsi pembacaan tabel berdasarkan Gol</t>
    </r>
  </si>
  <si>
    <r>
      <t xml:space="preserve">     </t>
    </r>
    <r>
      <rPr>
        <b/>
        <sz val="9"/>
        <rFont val="Book Antiqua"/>
        <family val="1"/>
      </rPr>
      <t>Nama Barang</t>
    </r>
    <r>
      <rPr>
        <sz val="9"/>
        <rFont val="Book Antiqua"/>
        <family val="1"/>
      </rPr>
      <t xml:space="preserve"> dan </t>
    </r>
    <r>
      <rPr>
        <b/>
        <sz val="9"/>
        <rFont val="Book Antiqua"/>
        <family val="1"/>
      </rPr>
      <t>Harga Satuan</t>
    </r>
    <r>
      <rPr>
        <sz val="9"/>
        <rFont val="Book Antiqua"/>
        <family val="1"/>
      </rPr>
      <t xml:space="preserve"> diperoleh dari Tabel Kode Barang yang disediakan</t>
    </r>
  </si>
  <si>
    <r>
      <t xml:space="preserve">     Harga Total </t>
    </r>
    <r>
      <rPr>
        <sz val="9"/>
        <rFont val="Book Antiqua"/>
        <family val="1"/>
      </rPr>
      <t>= Jumlah Unit * Harga Satuan</t>
    </r>
  </si>
  <si>
    <r>
      <t xml:space="preserve">     Diskon</t>
    </r>
    <r>
      <rPr>
        <sz val="9"/>
        <rFont val="Book Antiqua"/>
        <family val="1"/>
      </rPr>
      <t xml:space="preserve"> diperoleh dari Prosentase Diskon yang ada pada Tabel Kode Barang * Harga Total</t>
    </r>
  </si>
  <si>
    <r>
      <t xml:space="preserve">     Nilai Bersih </t>
    </r>
    <r>
      <rPr>
        <sz val="9"/>
        <rFont val="Book Antiqua"/>
        <family val="1"/>
      </rPr>
      <t>= Harga Total - Diskon</t>
    </r>
  </si>
  <si>
    <r>
      <t xml:space="preserve">     Jurusan </t>
    </r>
    <r>
      <rPr>
        <sz val="10"/>
        <rFont val="Book Antiqua"/>
        <family val="1"/>
      </rPr>
      <t>(karakter 1 dan 2 KODE) gunakan pembacaan Tabel Kode Jurusan</t>
    </r>
  </si>
  <si>
    <r>
      <t xml:space="preserve">     Angkatan </t>
    </r>
    <r>
      <rPr>
        <sz val="10"/>
        <rFont val="Book Antiqua"/>
        <family val="1"/>
      </rPr>
      <t>(karakter 3 dan 4 KODE) gunakan pembacaan Tabel Th. Angkatan</t>
    </r>
  </si>
  <si>
    <r>
      <t xml:space="preserve">     </t>
    </r>
    <r>
      <rPr>
        <b/>
        <sz val="10"/>
        <rFont val="Book Antiqua"/>
        <family val="1"/>
      </rPr>
      <t xml:space="preserve">Biaya Per SKS </t>
    </r>
    <r>
      <rPr>
        <sz val="10"/>
        <rFont val="Book Antiqua"/>
        <family val="1"/>
      </rPr>
      <t>ditentukan berdasaran Kode Jurusan, gunakan pembacaan tabel</t>
    </r>
  </si>
  <si>
    <r>
      <t xml:space="preserve">     </t>
    </r>
    <r>
      <rPr>
        <b/>
        <sz val="10"/>
        <rFont val="Book Antiqua"/>
        <family val="1"/>
      </rPr>
      <t xml:space="preserve">Jumlah Biaya </t>
    </r>
    <r>
      <rPr>
        <sz val="10"/>
        <rFont val="Book Antiqua"/>
        <family val="1"/>
      </rPr>
      <t>= Biaya Per SKS * Jumlah SKS</t>
    </r>
  </si>
  <si>
    <t>Daftar Gaji Pegawai</t>
  </si>
  <si>
    <t>CV. Putri Priyanti</t>
  </si>
  <si>
    <t>Thn Masuk</t>
  </si>
  <si>
    <t>Lama Kerja</t>
  </si>
  <si>
    <t>Komisi</t>
  </si>
  <si>
    <t>PPh(Pajak)</t>
  </si>
  <si>
    <t>Ket Kerja</t>
  </si>
  <si>
    <t>Anak</t>
  </si>
  <si>
    <t>Perum</t>
  </si>
  <si>
    <t>AD85TK00-K</t>
  </si>
  <si>
    <t>Paula Noviawati</t>
  </si>
  <si>
    <t>II</t>
  </si>
  <si>
    <t>PD78KW01-T</t>
  </si>
  <si>
    <t>Jatnika Santana</t>
  </si>
  <si>
    <t>IV</t>
  </si>
  <si>
    <t>KB80KW02-T</t>
  </si>
  <si>
    <t>III</t>
  </si>
  <si>
    <t>ST79KW03-M</t>
  </si>
  <si>
    <t>Dewi Chandra</t>
  </si>
  <si>
    <t>I</t>
  </si>
  <si>
    <t>PD81TK00-M</t>
  </si>
  <si>
    <t>Restu Putri</t>
  </si>
  <si>
    <t>AD84TK00-K</t>
  </si>
  <si>
    <t>Deni Rosdiana</t>
  </si>
  <si>
    <t>AD80KW03-M</t>
  </si>
  <si>
    <t>Putra Pratama</t>
  </si>
  <si>
    <t>ST90TK00-K</t>
  </si>
  <si>
    <t>Salsabila Zahra</t>
  </si>
  <si>
    <t>KB87KW02-T</t>
  </si>
  <si>
    <t>Dini Meilani</t>
  </si>
  <si>
    <t>ST92KW01-T</t>
  </si>
  <si>
    <t>Ade Sopian</t>
  </si>
  <si>
    <t>*  Jika KODE = AD maka Administrasi</t>
  </si>
  <si>
    <t>*  Jika KODE = PD maka Pres. Dir</t>
  </si>
  <si>
    <t>*  Jika KODE = ST maka Staff</t>
  </si>
  <si>
    <r>
      <t>Jabatan</t>
    </r>
    <r>
      <rPr>
        <sz val="8.5"/>
        <rFont val="Book Antiqua"/>
        <family val="1"/>
      </rPr>
      <t xml:space="preserve"> (karakter 1 dan 2 KODE):</t>
    </r>
  </si>
  <si>
    <r>
      <t xml:space="preserve">Lama Kerja </t>
    </r>
    <r>
      <rPr>
        <sz val="8.5"/>
        <rFont val="Book Antiqua"/>
        <family val="1"/>
      </rPr>
      <t>= Thn. Sekarang - Thn. Masuk</t>
    </r>
  </si>
  <si>
    <t>*  Jika Status = TK maka Tidak Kawin</t>
  </si>
  <si>
    <t>*  Jika Status = KW maka Kawin</t>
  </si>
  <si>
    <r>
      <t xml:space="preserve">Status </t>
    </r>
    <r>
      <rPr>
        <sz val="8.5"/>
        <rFont val="Book Antiqua"/>
        <family val="1"/>
      </rPr>
      <t>(karakter 5 dan 6 KODE):</t>
    </r>
  </si>
  <si>
    <t>Tabel Tunjangan-Tunjangan</t>
  </si>
  <si>
    <t>Administrasi</t>
  </si>
  <si>
    <t>Ka. Bag</t>
  </si>
  <si>
    <t>Pres. Direktur</t>
  </si>
  <si>
    <t>Staff</t>
  </si>
  <si>
    <t>Tabel Gaji Pokok</t>
  </si>
  <si>
    <t>AD</t>
  </si>
  <si>
    <t>KB</t>
  </si>
  <si>
    <t>PD</t>
  </si>
  <si>
    <t>ST</t>
  </si>
  <si>
    <r>
      <t xml:space="preserve">Gaji Pokok: </t>
    </r>
    <r>
      <rPr>
        <sz val="8.5"/>
        <rFont val="Book Antiqua"/>
        <family val="1"/>
      </rPr>
      <t>gunakan pembacaan Tabel Gaji Pokok sesuai dengan KODE dan Gol</t>
    </r>
  </si>
  <si>
    <r>
      <t xml:space="preserve">Tunjangan Jabatan: </t>
    </r>
    <r>
      <rPr>
        <sz val="8.5"/>
        <rFont val="Book Antiqua"/>
        <family val="1"/>
      </rPr>
      <t>gunakan pembacaan Tabel Tunjangan sesuai dengan Jabatan</t>
    </r>
  </si>
  <si>
    <t>Tunjangan Keluarga, Anak dan Perum:</t>
  </si>
  <si>
    <t>*  Jika Status Kawin maka Tunjangan sesuai dengan Tabel Tunjangan * Gaji Pokok</t>
  </si>
  <si>
    <t>*  Jika Status Blm. Kawin maka tidak mendapat tunjangan</t>
  </si>
  <si>
    <t>Komisi:</t>
  </si>
  <si>
    <r>
      <t xml:space="preserve">Gaji Kotor </t>
    </r>
    <r>
      <rPr>
        <sz val="8.5"/>
        <rFont val="Book Antiqua"/>
        <family val="1"/>
      </rPr>
      <t>= Gaji Pokok + Tunjangan2 + Komisi</t>
    </r>
  </si>
  <si>
    <r>
      <t xml:space="preserve">Keterangan </t>
    </r>
    <r>
      <rPr>
        <sz val="8.5"/>
        <rFont val="Book Antiqua"/>
        <family val="1"/>
      </rPr>
      <t>(karakter terakhir KODE):</t>
    </r>
  </si>
  <si>
    <t>*  Jika KODE = T maka Tetap</t>
  </si>
  <si>
    <t>*  Jika KODE = M maka Mutasi</t>
  </si>
  <si>
    <t>*  Jika KODE = K maka Kontrak</t>
  </si>
  <si>
    <t>Latihan 1</t>
  </si>
  <si>
    <t>A</t>
  </si>
  <si>
    <t>B</t>
  </si>
  <si>
    <t>C</t>
  </si>
  <si>
    <t>E</t>
  </si>
  <si>
    <t>F</t>
  </si>
  <si>
    <t>Layout</t>
  </si>
  <si>
    <t>Latihan 2</t>
  </si>
  <si>
    <t>G</t>
  </si>
  <si>
    <t>H</t>
  </si>
  <si>
    <t>Latihan 4</t>
  </si>
  <si>
    <t>Latihan 3</t>
  </si>
  <si>
    <t>Latihan 5</t>
  </si>
  <si>
    <t>J</t>
  </si>
  <si>
    <t>Latihan 6</t>
  </si>
  <si>
    <t>Latihan 7</t>
  </si>
  <si>
    <t>L</t>
  </si>
  <si>
    <t>M</t>
  </si>
  <si>
    <t>N</t>
  </si>
  <si>
    <t>Latihan 10</t>
  </si>
  <si>
    <t>Latihan 11</t>
  </si>
  <si>
    <t>O</t>
  </si>
  <si>
    <t>Q</t>
  </si>
  <si>
    <t>R</t>
  </si>
  <si>
    <t>Stok Barang = Stok Barang Bulan Lalu + P01 dan P02 - P03 dan P04</t>
  </si>
  <si>
    <t>SEMESTER GANJIL TAHUN 2007</t>
  </si>
  <si>
    <t>BULAN JUNI 2009, DUA MINGGU PERTAMA</t>
  </si>
  <si>
    <t>BULAN : JUNI 2009</t>
  </si>
  <si>
    <t xml:space="preserve">              Semester Ganjil Tahun 2009</t>
  </si>
  <si>
    <t>Bulan : Juni 2009</t>
  </si>
  <si>
    <t>Bulan : Januari 2009</t>
  </si>
  <si>
    <t>*  Jika Gol = 2 maka 7 % dari Gaji Pokok</t>
  </si>
  <si>
    <t>*  Jika Gol = 3 maka 5 % dari Gaji Pokok</t>
  </si>
  <si>
    <t>*  Jika Gol = 4 maka 3 % dari Gaji Pokok</t>
  </si>
  <si>
    <t>CV. R-saver</t>
  </si>
  <si>
    <t>PT. R Sejahtera</t>
  </si>
  <si>
    <t>CV. RH</t>
  </si>
  <si>
    <t xml:space="preserve">CV. SINAR R </t>
  </si>
  <si>
    <t>PT. R</t>
  </si>
  <si>
    <t>HASIL PEMERIKSAAN DATA PENJUALAN PT. R</t>
  </si>
  <si>
    <t>LOSMEN R</t>
  </si>
  <si>
    <t>Latihan 12</t>
  </si>
  <si>
    <t>Latihan 9</t>
  </si>
  <si>
    <t>Latihan 8</t>
  </si>
  <si>
    <t>TOKO "EMPAT BELAS"</t>
  </si>
  <si>
    <t>UNIVERSITAS PANCASAKTI</t>
  </si>
  <si>
    <t>*   Jika jenis kamar STD maka 200000</t>
  </si>
  <si>
    <t>*   Jika jenis kamar LUX maka 350000</t>
  </si>
  <si>
    <t>BULAN : JUNI 2025</t>
  </si>
  <si>
    <t>Kornet Besar</t>
  </si>
  <si>
    <t>Gulaku</t>
  </si>
  <si>
    <t xml:space="preserve">   Jika Kode = P maka 25000000</t>
  </si>
  <si>
    <t xml:space="preserve">   Jika Kode = D maka 20000000</t>
  </si>
  <si>
    <t xml:space="preserve">   Jika Kode = S maka 7000000</t>
  </si>
  <si>
    <t>*   Jika KODE = TA maka  500000</t>
  </si>
  <si>
    <t>*   Jika KODE = EK maka  250000</t>
  </si>
  <si>
    <t>*   Jika KODE = HK maka  350000</t>
  </si>
  <si>
    <t>*   Jika KODE = SP maka  300000</t>
  </si>
  <si>
    <t>*   Jika KODE = TS maka  500000</t>
  </si>
  <si>
    <t>Semester Ganjil Tahun 2025</t>
  </si>
  <si>
    <t>*  Jika KODE = PD maka 25000000</t>
  </si>
  <si>
    <t>*  Jika KODE = KB maka 17000000</t>
  </si>
  <si>
    <t>*  Jika KODE = AD maka 15000000</t>
  </si>
  <si>
    <t>*  Jika KODE = ST maka 13000000</t>
  </si>
  <si>
    <r>
      <t xml:space="preserve">Tahun Masuk </t>
    </r>
    <r>
      <rPr>
        <sz val="9"/>
        <rFont val="Book Antiqua"/>
        <family val="1"/>
      </rPr>
      <t xml:space="preserve">(karakter 2 dan 3 KODE) tampilkan dlm </t>
    </r>
    <r>
      <rPr>
        <b/>
        <sz val="9"/>
        <rFont val="Book Antiqua"/>
        <family val="1"/>
      </rPr>
      <t>format 1930</t>
    </r>
  </si>
  <si>
    <t>Bulan : Juni 2025</t>
  </si>
  <si>
    <t>*  Jika lama kerja &gt;= 10 mendapat 25% dari Gaji Pokok</t>
  </si>
  <si>
    <t>Bulan : Januari 2025</t>
  </si>
  <si>
    <t>SEMESTER GANJIL TAHUN 2025</t>
  </si>
  <si>
    <r>
      <t xml:space="preserve">PPH </t>
    </r>
    <r>
      <rPr>
        <sz val="9"/>
        <rFont val="Book Antiqua"/>
        <family val="1"/>
      </rPr>
      <t>= 25% * Gaji Kotor jika lebih dari 20000000, 15% * Gaji Kotor jika kurang dari 20000000</t>
    </r>
  </si>
  <si>
    <t>sebesar 10% dari Tarip Per Hari</t>
  </si>
  <si>
    <t>*  Jika lama kerja &lt; 10 tidak mendapat tunjangan</t>
  </si>
  <si>
    <t>Gaji Tahunan</t>
  </si>
  <si>
    <t>PTKP</t>
  </si>
  <si>
    <t>PKP</t>
  </si>
  <si>
    <t>PPH 21</t>
  </si>
  <si>
    <t>PPH 21 Bulanan</t>
  </si>
  <si>
    <t>PTKP:</t>
  </si>
  <si>
    <t>*Kawin = 58500000</t>
  </si>
  <si>
    <t>*Tidak Kawin = 54000000</t>
  </si>
  <si>
    <r>
      <t>PKP =</t>
    </r>
    <r>
      <rPr>
        <sz val="8.5"/>
        <rFont val="Book Antiqua"/>
        <family val="1"/>
      </rPr>
      <t xml:space="preserve"> Gaji Tahunan - PTKP</t>
    </r>
  </si>
  <si>
    <r>
      <t>Gaji Bersih</t>
    </r>
    <r>
      <rPr>
        <sz val="8.5"/>
        <rFont val="Book Antiqua"/>
        <family val="1"/>
      </rPr>
      <t xml:space="preserve"> = Gaji Kotor - Pph Bulanan</t>
    </r>
  </si>
  <si>
    <t>PKP 5%</t>
  </si>
  <si>
    <t>PKP 15%</t>
  </si>
  <si>
    <t>PKP 25%</t>
  </si>
  <si>
    <t>Deduction</t>
  </si>
  <si>
    <t>BPJS</t>
  </si>
  <si>
    <t>JHT</t>
  </si>
  <si>
    <t>Biaya Jabatan</t>
  </si>
  <si>
    <t>JP</t>
  </si>
  <si>
    <r>
      <t xml:space="preserve">Pph </t>
    </r>
    <r>
      <rPr>
        <sz val="8.5"/>
        <rFont val="Book Antiqua"/>
        <family val="1"/>
      </rPr>
      <t xml:space="preserve">= jika PKP &gt; 25000000 maka 25% * PKP </t>
    </r>
  </si>
  <si>
    <t>jika PKP &gt;6000000 maka 15% * PKP, jika&lt;60000000 maka 5%*PKP</t>
  </si>
  <si>
    <r>
      <t xml:space="preserve">Thn. Masuk: </t>
    </r>
    <r>
      <rPr>
        <sz val="8.5"/>
        <rFont val="Book Antiqua"/>
        <family val="1"/>
      </rPr>
      <t xml:space="preserve">karakter 3 dan 4 KODE tampilkan dalam </t>
    </r>
    <r>
      <rPr>
        <b/>
        <sz val="8.5"/>
        <rFont val="Book Antiqua"/>
        <family val="1"/>
      </rPr>
      <t>format 1930</t>
    </r>
  </si>
  <si>
    <r>
      <t xml:space="preserve">Deduction: </t>
    </r>
    <r>
      <rPr>
        <sz val="8.5"/>
        <rFont val="Book Antiqua"/>
        <family val="1"/>
      </rPr>
      <t>BPJS: 1%*Gaji Kotor, JHT: 2%*Gaji Kotor, JP: 1%*Gaji Kotor</t>
    </r>
  </si>
  <si>
    <r>
      <rPr>
        <b/>
        <sz val="8.5"/>
        <rFont val="Book Antiqua"/>
        <family val="1"/>
      </rPr>
      <t>Biaya Jabatan=</t>
    </r>
    <r>
      <rPr>
        <sz val="8.5"/>
        <rFont val="Book Antiqua"/>
        <family val="1"/>
      </rPr>
      <t>5%*Gaji Kotor, 6000000/Tahun atau 500000/Bulan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</si>
</sst>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_(&quot;Rp&quot;* #,##0_);_(&quot;Rp&quot;* \(#,##0\);_(&quot;Rp&quot;* &quot;-&quot;_);_(@_)"/>
    <numFmt numFmtId="165" formatCode="0.0%"/>
    <numFmt numFmtId="166" formatCode="0.0"/>
    <numFmt numFmtId="167" formatCode="[$-421]dd\ mmmm\ yyyy;@"/>
    <numFmt numFmtId="168" formatCode="[$-409]dd\-mmm\-yy;@"/>
    <numFmt numFmtId="169" formatCode="_([$Rp-421]* #,##0_);_([$Rp-421]* \(#,##0\);_([$Rp-421]* &quot;-&quot;_);_(@_)"/>
    <numFmt numFmtId="170" formatCode="[$-F800]dddd\,\ mmmm\ dd\,\ yyyy"/>
    <numFmt numFmtId="171" formatCode="[$-409]d\-mmm\-yyyy;@"/>
    <numFmt numFmtId="172" formatCode="_([$Rp-421]* #,##0.00_);_([$Rp-421]* \(#,##0.00\);_([$Rp-421]* &quot;-&quot;??_);_(@_)"/>
    <numFmt numFmtId="173" formatCode="_-[$Rp-421]* #,##0_-;\-[$Rp-421]* #,##0_-;_-[$Rp-421]* &quot;-&quot;_-;_-@_-"/>
    <numFmt numFmtId="174" formatCode="_([$Rp-421]* #,##0_);_([$Rp-421]* \(#,##0\);_([$Rp-421]* &quot;-&quot;??_);_(@_)"/>
  </numFmts>
  <fonts count="15" x14ac:knownFonts="1">
    <font>
      <sz val="10"/>
      <name val="Bookman Old Style"/>
      <charset val="1"/>
    </font>
    <font>
      <sz val="8"/>
      <name val="Bookman Old Style"/>
      <charset val="1"/>
    </font>
    <font>
      <b/>
      <sz val="12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2"/>
      <name val="Book Antiqua"/>
      <family val="1"/>
    </font>
    <font>
      <b/>
      <sz val="11"/>
      <name val="Book Antiqua"/>
      <family val="1"/>
    </font>
    <font>
      <sz val="10"/>
      <name val="Bookman Old Style"/>
      <family val="1"/>
    </font>
    <font>
      <b/>
      <sz val="14"/>
      <name val="Book Antiqua"/>
      <family val="1"/>
    </font>
    <font>
      <b/>
      <sz val="9"/>
      <name val="Book Antiqua"/>
      <family val="1"/>
    </font>
    <font>
      <sz val="9"/>
      <name val="Book Antiqua"/>
      <family val="1"/>
    </font>
    <font>
      <b/>
      <i/>
      <sz val="12"/>
      <name val="Book Antiqua"/>
      <family val="1"/>
    </font>
    <font>
      <b/>
      <sz val="8"/>
      <name val="Tahoma"/>
      <family val="2"/>
    </font>
    <font>
      <sz val="8.5"/>
      <name val="Book Antiqua"/>
      <family val="1"/>
    </font>
    <font>
      <b/>
      <sz val="8.5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165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5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5" fontId="3" fillId="0" borderId="14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15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horizontal="right" vertical="center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164" fontId="3" fillId="0" borderId="15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164" fontId="3" fillId="0" borderId="17" xfId="0" applyNumberFormat="1" applyFont="1" applyBorder="1" applyAlignment="1">
      <alignment vertical="center"/>
    </xf>
    <xf numFmtId="164" fontId="3" fillId="0" borderId="18" xfId="0" applyNumberFormat="1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8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168" fontId="3" fillId="0" borderId="1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vertical="center"/>
    </xf>
    <xf numFmtId="167" fontId="10" fillId="0" borderId="30" xfId="0" applyNumberFormat="1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164" fontId="10" fillId="0" borderId="30" xfId="0" applyNumberFormat="1" applyFont="1" applyBorder="1" applyAlignment="1">
      <alignment vertical="center"/>
    </xf>
    <xf numFmtId="164" fontId="10" fillId="0" borderId="30" xfId="0" quotePrefix="1" applyNumberFormat="1" applyFont="1" applyBorder="1" applyAlignment="1">
      <alignment vertical="center"/>
    </xf>
    <xf numFmtId="9" fontId="10" fillId="0" borderId="31" xfId="0" applyNumberFormat="1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167" fontId="10" fillId="0" borderId="33" xfId="0" applyNumberFormat="1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164" fontId="10" fillId="0" borderId="33" xfId="0" applyNumberFormat="1" applyFont="1" applyBorder="1" applyAlignment="1">
      <alignment vertical="center"/>
    </xf>
    <xf numFmtId="9" fontId="10" fillId="0" borderId="34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167" fontId="9" fillId="0" borderId="0" xfId="0" applyNumberFormat="1" applyFont="1" applyBorder="1" applyAlignment="1">
      <alignment vertical="center"/>
    </xf>
    <xf numFmtId="167" fontId="9" fillId="0" borderId="0" xfId="0" applyNumberFormat="1" applyFont="1" applyBorder="1" applyAlignment="1">
      <alignment horizontal="left" vertical="center"/>
    </xf>
    <xf numFmtId="167" fontId="10" fillId="0" borderId="0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2" fillId="2" borderId="35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vertical="center"/>
    </xf>
    <xf numFmtId="164" fontId="3" fillId="0" borderId="8" xfId="0" applyNumberFormat="1" applyFont="1" applyFill="1" applyBorder="1" applyAlignment="1">
      <alignment vertical="center"/>
    </xf>
    <xf numFmtId="164" fontId="3" fillId="0" borderId="9" xfId="0" applyNumberFormat="1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164" fontId="3" fillId="0" borderId="4" xfId="0" applyNumberFormat="1" applyFont="1" applyFill="1" applyBorder="1" applyAlignment="1">
      <alignment vertical="center"/>
    </xf>
    <xf numFmtId="164" fontId="3" fillId="0" borderId="11" xfId="0" applyNumberFormat="1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vertical="center"/>
    </xf>
    <xf numFmtId="164" fontId="3" fillId="0" borderId="13" xfId="0" applyNumberFormat="1" applyFont="1" applyFill="1" applyBorder="1" applyAlignment="1">
      <alignment vertical="center"/>
    </xf>
    <xf numFmtId="164" fontId="3" fillId="0" borderId="14" xfId="0" applyNumberFormat="1" applyFont="1" applyFill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/>
    </xf>
    <xf numFmtId="164" fontId="10" fillId="0" borderId="11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vertical="center"/>
    </xf>
    <xf numFmtId="164" fontId="10" fillId="0" borderId="14" xfId="0" applyNumberFormat="1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vertical="center"/>
    </xf>
    <xf numFmtId="164" fontId="10" fillId="0" borderId="9" xfId="0" applyNumberFormat="1" applyFont="1" applyBorder="1" applyAlignme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vertical="center"/>
    </xf>
    <xf numFmtId="167" fontId="10" fillId="0" borderId="13" xfId="0" applyNumberFormat="1" applyFont="1" applyBorder="1" applyAlignment="1">
      <alignment vertical="center"/>
    </xf>
    <xf numFmtId="167" fontId="10" fillId="0" borderId="8" xfId="0" applyNumberFormat="1" applyFont="1" applyBorder="1" applyAlignment="1">
      <alignment vertical="center"/>
    </xf>
    <xf numFmtId="167" fontId="10" fillId="0" borderId="8" xfId="0" applyNumberFormat="1" applyFont="1" applyBorder="1" applyAlignment="1">
      <alignment horizontal="center" vertical="center"/>
    </xf>
    <xf numFmtId="169" fontId="3" fillId="0" borderId="21" xfId="0" applyNumberFormat="1" applyFont="1" applyBorder="1" applyAlignment="1">
      <alignment vertical="center"/>
    </xf>
    <xf numFmtId="169" fontId="3" fillId="0" borderId="4" xfId="0" applyNumberFormat="1" applyFont="1" applyBorder="1" applyAlignment="1">
      <alignment vertical="center"/>
    </xf>
    <xf numFmtId="169" fontId="3" fillId="0" borderId="28" xfId="0" applyNumberFormat="1" applyFont="1" applyBorder="1" applyAlignment="1">
      <alignment vertical="center"/>
    </xf>
    <xf numFmtId="169" fontId="3" fillId="0" borderId="11" xfId="0" applyNumberFormat="1" applyFont="1" applyBorder="1" applyAlignment="1">
      <alignment vertical="center"/>
    </xf>
    <xf numFmtId="169" fontId="3" fillId="0" borderId="13" xfId="0" applyNumberFormat="1" applyFont="1" applyBorder="1" applyAlignment="1">
      <alignment vertical="center"/>
    </xf>
    <xf numFmtId="169" fontId="3" fillId="0" borderId="14" xfId="0" applyNumberFormat="1" applyFont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9" fontId="3" fillId="0" borderId="13" xfId="0" applyNumberFormat="1" applyFont="1" applyBorder="1" applyAlignment="1">
      <alignment horizontal="center" vertical="center"/>
    </xf>
    <xf numFmtId="9" fontId="3" fillId="0" borderId="14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center"/>
    </xf>
    <xf numFmtId="164" fontId="13" fillId="0" borderId="8" xfId="0" quotePrefix="1" applyNumberFormat="1" applyFont="1" applyBorder="1" applyAlignment="1">
      <alignment vertical="center"/>
    </xf>
    <xf numFmtId="164" fontId="13" fillId="0" borderId="8" xfId="0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164" fontId="13" fillId="0" borderId="4" xfId="0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164" fontId="13" fillId="0" borderId="13" xfId="0" applyNumberFormat="1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quotePrefix="1" applyFont="1" applyAlignment="1">
      <alignment vertical="center"/>
    </xf>
    <xf numFmtId="0" fontId="12" fillId="0" borderId="0" xfId="0" applyFont="1" applyAlignment="1">
      <alignment vertical="center"/>
    </xf>
    <xf numFmtId="9" fontId="13" fillId="0" borderId="8" xfId="0" applyNumberFormat="1" applyFont="1" applyBorder="1" applyAlignment="1">
      <alignment horizontal="center" vertical="center"/>
    </xf>
    <xf numFmtId="9" fontId="13" fillId="0" borderId="9" xfId="0" applyNumberFormat="1" applyFont="1" applyBorder="1" applyAlignment="1">
      <alignment horizontal="center" vertical="center"/>
    </xf>
    <xf numFmtId="9" fontId="13" fillId="0" borderId="4" xfId="0" applyNumberFormat="1" applyFont="1" applyBorder="1" applyAlignment="1">
      <alignment horizontal="center" vertical="center"/>
    </xf>
    <xf numFmtId="9" fontId="13" fillId="0" borderId="11" xfId="0" applyNumberFormat="1" applyFont="1" applyBorder="1" applyAlignment="1">
      <alignment horizontal="center" vertical="center"/>
    </xf>
    <xf numFmtId="9" fontId="13" fillId="0" borderId="13" xfId="0" applyNumberFormat="1" applyFont="1" applyBorder="1" applyAlignment="1">
      <alignment horizontal="center" vertical="center"/>
    </xf>
    <xf numFmtId="9" fontId="13" fillId="0" borderId="14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vertical="center"/>
    </xf>
    <xf numFmtId="164" fontId="13" fillId="0" borderId="11" xfId="0" applyNumberFormat="1" applyFont="1" applyBorder="1" applyAlignment="1">
      <alignment vertical="center"/>
    </xf>
    <xf numFmtId="164" fontId="13" fillId="0" borderId="14" xfId="0" applyNumberFormat="1" applyFont="1" applyBorder="1" applyAlignment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164" fontId="13" fillId="0" borderId="21" xfId="0" applyNumberFormat="1" applyFont="1" applyBorder="1" applyAlignment="1">
      <alignment vertical="center"/>
    </xf>
    <xf numFmtId="164" fontId="13" fillId="0" borderId="33" xfId="0" applyNumberFormat="1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164" fontId="13" fillId="0" borderId="21" xfId="0" quotePrefix="1" applyNumberFormat="1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164" fontId="13" fillId="0" borderId="33" xfId="0" quotePrefix="1" applyNumberFormat="1" applyFont="1" applyBorder="1" applyAlignment="1">
      <alignment vertical="center"/>
    </xf>
    <xf numFmtId="0" fontId="13" fillId="0" borderId="28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37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70" fontId="3" fillId="0" borderId="7" xfId="0" applyNumberFormat="1" applyFont="1" applyFill="1" applyBorder="1" applyAlignment="1">
      <alignment vertical="center"/>
    </xf>
    <xf numFmtId="170" fontId="3" fillId="0" borderId="10" xfId="0" applyNumberFormat="1" applyFont="1" applyFill="1" applyBorder="1" applyAlignment="1">
      <alignment vertical="center"/>
    </xf>
    <xf numFmtId="170" fontId="3" fillId="0" borderId="12" xfId="0" applyNumberFormat="1" applyFont="1" applyFill="1" applyBorder="1" applyAlignment="1">
      <alignment vertical="center"/>
    </xf>
    <xf numFmtId="9" fontId="3" fillId="0" borderId="9" xfId="0" applyNumberFormat="1" applyFont="1" applyFill="1" applyBorder="1" applyAlignment="1">
      <alignment vertical="center"/>
    </xf>
    <xf numFmtId="9" fontId="3" fillId="0" borderId="11" xfId="0" applyNumberFormat="1" applyFont="1" applyFill="1" applyBorder="1" applyAlignment="1">
      <alignment vertical="center"/>
    </xf>
    <xf numFmtId="9" fontId="3" fillId="0" borderId="14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164" fontId="3" fillId="0" borderId="14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38" xfId="0" quotePrefix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right" vertical="center"/>
    </xf>
    <xf numFmtId="165" fontId="3" fillId="0" borderId="4" xfId="0" applyNumberFormat="1" applyFont="1" applyFill="1" applyBorder="1" applyAlignment="1">
      <alignment horizontal="right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vertical="center"/>
    </xf>
    <xf numFmtId="168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166" fontId="4" fillId="0" borderId="4" xfId="0" applyNumberFormat="1" applyFont="1" applyBorder="1" applyAlignment="1">
      <alignment horizontal="center" vertical="center"/>
    </xf>
    <xf numFmtId="169" fontId="10" fillId="0" borderId="8" xfId="0" applyNumberFormat="1" applyFont="1" applyBorder="1" applyAlignment="1">
      <alignment horizontal="center" vertical="center"/>
    </xf>
    <xf numFmtId="9" fontId="10" fillId="0" borderId="9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8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9" fontId="13" fillId="0" borderId="0" xfId="0" applyNumberFormat="1" applyFont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173" fontId="13" fillId="0" borderId="21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right" vertical="center"/>
    </xf>
    <xf numFmtId="0" fontId="3" fillId="3" borderId="50" xfId="0" applyFont="1" applyFill="1" applyBorder="1" applyAlignment="1">
      <alignment horizontal="right" vertical="center"/>
    </xf>
    <xf numFmtId="0" fontId="3" fillId="0" borderId="64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3" fillId="3" borderId="52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vertical="center"/>
    </xf>
    <xf numFmtId="0" fontId="9" fillId="2" borderId="16" xfId="0" applyFont="1" applyFill="1" applyBorder="1" applyAlignment="1">
      <alignment horizontal="center" vertical="center" wrapText="1"/>
    </xf>
    <xf numFmtId="9" fontId="10" fillId="0" borderId="49" xfId="0" applyNumberFormat="1" applyFont="1" applyBorder="1" applyAlignment="1">
      <alignment vertical="center"/>
    </xf>
    <xf numFmtId="9" fontId="10" fillId="0" borderId="63" xfId="0" applyNumberFormat="1" applyFont="1" applyBorder="1" applyAlignment="1">
      <alignment vertical="center"/>
    </xf>
    <xf numFmtId="173" fontId="10" fillId="0" borderId="51" xfId="0" applyNumberFormat="1" applyFont="1" applyBorder="1" applyAlignment="1">
      <alignment horizontal="center" vertical="center"/>
    </xf>
    <xf numFmtId="0" fontId="9" fillId="2" borderId="65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vertical="center"/>
    </xf>
    <xf numFmtId="0" fontId="10" fillId="0" borderId="48" xfId="0" applyFont="1" applyBorder="1" applyAlignment="1">
      <alignment vertical="center"/>
    </xf>
    <xf numFmtId="0" fontId="10" fillId="0" borderId="60" xfId="0" applyFont="1" applyBorder="1" applyAlignment="1">
      <alignment vertical="center"/>
    </xf>
    <xf numFmtId="0" fontId="4" fillId="2" borderId="65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 wrapText="1"/>
    </xf>
    <xf numFmtId="173" fontId="3" fillId="0" borderId="21" xfId="0" applyNumberFormat="1" applyFont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 wrapText="1"/>
    </xf>
    <xf numFmtId="171" fontId="3" fillId="0" borderId="35" xfId="0" applyNumberFormat="1" applyFont="1" applyFill="1" applyBorder="1" applyAlignment="1">
      <alignment vertical="center"/>
    </xf>
    <xf numFmtId="171" fontId="3" fillId="0" borderId="48" xfId="0" applyNumberFormat="1" applyFont="1" applyFill="1" applyBorder="1" applyAlignment="1">
      <alignment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174" fontId="3" fillId="0" borderId="8" xfId="0" applyNumberFormat="1" applyFont="1" applyBorder="1" applyAlignment="1">
      <alignment horizontal="center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48" xfId="0" applyFont="1" applyFill="1" applyBorder="1" applyAlignment="1">
      <alignment horizontal="left" vertical="center"/>
    </xf>
    <xf numFmtId="0" fontId="4" fillId="2" borderId="64" xfId="0" applyFont="1" applyFill="1" applyBorder="1" applyAlignment="1">
      <alignment horizontal="center" vertical="center" wrapText="1"/>
    </xf>
    <xf numFmtId="0" fontId="10" fillId="0" borderId="43" xfId="0" applyFont="1" applyBorder="1" applyAlignment="1">
      <alignment vertical="center"/>
    </xf>
    <xf numFmtId="171" fontId="3" fillId="0" borderId="55" xfId="0" applyNumberFormat="1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172" fontId="3" fillId="0" borderId="0" xfId="0" applyNumberFormat="1" applyFont="1" applyFill="1" applyAlignment="1">
      <alignment vertical="center"/>
    </xf>
    <xf numFmtId="174" fontId="3" fillId="0" borderId="8" xfId="0" applyNumberFormat="1" applyFont="1" applyFill="1" applyBorder="1" applyAlignment="1">
      <alignment horizontal="center" vertical="center"/>
    </xf>
    <xf numFmtId="174" fontId="3" fillId="0" borderId="30" xfId="0" applyNumberFormat="1" applyFont="1" applyFill="1" applyBorder="1" applyAlignment="1">
      <alignment horizontal="center" vertical="center"/>
    </xf>
    <xf numFmtId="174" fontId="3" fillId="0" borderId="4" xfId="0" applyNumberFormat="1" applyFont="1" applyFill="1" applyBorder="1" applyAlignment="1">
      <alignment vertical="center"/>
    </xf>
    <xf numFmtId="174" fontId="3" fillId="0" borderId="21" xfId="0" applyNumberFormat="1" applyFont="1" applyBorder="1" applyAlignment="1">
      <alignment horizontal="center" vertical="center"/>
    </xf>
    <xf numFmtId="174" fontId="10" fillId="0" borderId="8" xfId="0" applyNumberFormat="1" applyFont="1" applyFill="1" applyBorder="1" applyAlignment="1">
      <alignment horizontal="center" vertical="center"/>
    </xf>
    <xf numFmtId="174" fontId="10" fillId="0" borderId="9" xfId="0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173" fontId="13" fillId="0" borderId="0" xfId="0" applyNumberFormat="1" applyFont="1" applyAlignment="1">
      <alignment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54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167" fontId="2" fillId="2" borderId="40" xfId="0" applyNumberFormat="1" applyFont="1" applyFill="1" applyBorder="1" applyAlignment="1">
      <alignment horizontal="center" vertical="center"/>
    </xf>
    <xf numFmtId="167" fontId="2" fillId="2" borderId="37" xfId="0" applyNumberFormat="1" applyFont="1" applyFill="1" applyBorder="1" applyAlignment="1">
      <alignment horizontal="center" vertical="center"/>
    </xf>
    <xf numFmtId="167" fontId="2" fillId="2" borderId="41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43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right" vertical="center"/>
    </xf>
    <xf numFmtId="0" fontId="3" fillId="0" borderId="59" xfId="0" applyFont="1" applyFill="1" applyBorder="1" applyAlignment="1">
      <alignment horizontal="right" vertical="center"/>
    </xf>
    <xf numFmtId="0" fontId="3" fillId="0" borderId="60" xfId="0" applyFont="1" applyFill="1" applyBorder="1" applyAlignment="1">
      <alignment horizontal="right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66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9</xdr:col>
      <xdr:colOff>0</xdr:colOff>
      <xdr:row>47</xdr:row>
      <xdr:rowOff>0</xdr:rowOff>
    </xdr:to>
    <xdr:sp macro="" textlink="">
      <xdr:nvSpPr>
        <xdr:cNvPr id="3169" name="Rectangle 2"/>
        <xdr:cNvSpPr>
          <a:spLocks noChangeArrowheads="1"/>
        </xdr:cNvSpPr>
      </xdr:nvSpPr>
      <xdr:spPr bwMode="auto">
        <a:xfrm>
          <a:off x="276225" y="6134100"/>
          <a:ext cx="4629150" cy="3124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8</xdr:col>
      <xdr:colOff>0</xdr:colOff>
      <xdr:row>49</xdr:row>
      <xdr:rowOff>0</xdr:rowOff>
    </xdr:to>
    <xdr:sp macro="" textlink="">
      <xdr:nvSpPr>
        <xdr:cNvPr id="3170" name="Rectangle 5"/>
        <xdr:cNvSpPr>
          <a:spLocks noChangeArrowheads="1"/>
        </xdr:cNvSpPr>
      </xdr:nvSpPr>
      <xdr:spPr bwMode="auto">
        <a:xfrm>
          <a:off x="276225" y="9010650"/>
          <a:ext cx="4048125" cy="7429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10</xdr:col>
      <xdr:colOff>0</xdr:colOff>
      <xdr:row>30</xdr:row>
      <xdr:rowOff>0</xdr:rowOff>
    </xdr:to>
    <xdr:sp macro="" textlink="">
      <xdr:nvSpPr>
        <xdr:cNvPr id="1081" name="Rectangle 1"/>
        <xdr:cNvSpPr>
          <a:spLocks noChangeArrowheads="1"/>
        </xdr:cNvSpPr>
      </xdr:nvSpPr>
      <xdr:spPr bwMode="auto">
        <a:xfrm>
          <a:off x="276225" y="5457825"/>
          <a:ext cx="5648325" cy="438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1082" name="Rectangle 2"/>
        <xdr:cNvSpPr>
          <a:spLocks noChangeArrowheads="1"/>
        </xdr:cNvSpPr>
      </xdr:nvSpPr>
      <xdr:spPr bwMode="auto">
        <a:xfrm>
          <a:off x="276225" y="6076950"/>
          <a:ext cx="5648325" cy="1485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8249" name="Rectangle 3"/>
        <xdr:cNvSpPr>
          <a:spLocks noChangeArrowheads="1"/>
        </xdr:cNvSpPr>
      </xdr:nvSpPr>
      <xdr:spPr bwMode="auto">
        <a:xfrm>
          <a:off x="0" y="5467350"/>
          <a:ext cx="11182350" cy="638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G22" sqref="G22"/>
    </sheetView>
  </sheetViews>
  <sheetFormatPr defaultRowHeight="13.5" x14ac:dyDescent="0.3"/>
  <cols>
    <col min="1" max="1" width="3.625" style="30" customWidth="1"/>
    <col min="2" max="2" width="4.25" style="30" customWidth="1"/>
    <col min="3" max="5" width="9" style="30"/>
    <col min="6" max="6" width="12.25" style="30" customWidth="1"/>
    <col min="7" max="16384" width="9" style="30"/>
  </cols>
  <sheetData>
    <row r="1" spans="1:6" ht="15.75" thickBot="1" x14ac:dyDescent="0.35">
      <c r="A1" s="323" t="s">
        <v>330</v>
      </c>
      <c r="B1" s="324"/>
      <c r="C1" s="325"/>
    </row>
    <row r="4" spans="1:6" ht="20.100000000000001" customHeight="1" x14ac:dyDescent="0.3">
      <c r="B4" s="332" t="s">
        <v>0</v>
      </c>
      <c r="C4" s="332"/>
      <c r="D4" s="332"/>
      <c r="E4" s="332"/>
      <c r="F4" s="332"/>
    </row>
    <row r="5" spans="1:6" ht="20.100000000000001" customHeight="1" x14ac:dyDescent="0.3">
      <c r="B5" s="332" t="s">
        <v>1</v>
      </c>
      <c r="C5" s="332"/>
      <c r="D5" s="332"/>
      <c r="E5" s="332"/>
      <c r="F5" s="332"/>
    </row>
    <row r="7" spans="1:6" ht="30" x14ac:dyDescent="0.3">
      <c r="B7" s="273" t="s">
        <v>2</v>
      </c>
      <c r="C7" s="273" t="s">
        <v>3</v>
      </c>
      <c r="D7" s="273" t="s">
        <v>4</v>
      </c>
      <c r="E7" s="273" t="s">
        <v>5</v>
      </c>
      <c r="F7" s="273" t="s">
        <v>6</v>
      </c>
    </row>
    <row r="8" spans="1:6" ht="20.100000000000001" customHeight="1" x14ac:dyDescent="0.3">
      <c r="B8" s="274">
        <v>1</v>
      </c>
      <c r="C8" s="248" t="s">
        <v>7</v>
      </c>
      <c r="D8" s="249">
        <v>1000</v>
      </c>
      <c r="E8" s="249">
        <v>75</v>
      </c>
      <c r="F8" s="250">
        <f>E8/D8</f>
        <v>7.4999999999999997E-2</v>
      </c>
    </row>
    <row r="9" spans="1:6" ht="20.100000000000001" customHeight="1" x14ac:dyDescent="0.3">
      <c r="B9" s="274">
        <v>2</v>
      </c>
      <c r="C9" s="248" t="s">
        <v>9</v>
      </c>
      <c r="D9" s="249">
        <v>1500</v>
      </c>
      <c r="E9" s="249">
        <v>100</v>
      </c>
      <c r="F9" s="250">
        <f t="shared" ref="F9:F17" si="0">E9/D9</f>
        <v>6.6666666666666666E-2</v>
      </c>
    </row>
    <row r="10" spans="1:6" ht="20.100000000000001" customHeight="1" x14ac:dyDescent="0.3">
      <c r="B10" s="274">
        <v>3</v>
      </c>
      <c r="C10" s="248" t="s">
        <v>11</v>
      </c>
      <c r="D10" s="249">
        <v>1200</v>
      </c>
      <c r="E10" s="249">
        <v>50</v>
      </c>
      <c r="F10" s="250">
        <f t="shared" si="0"/>
        <v>4.1666666666666664E-2</v>
      </c>
    </row>
    <row r="11" spans="1:6" ht="20.100000000000001" customHeight="1" x14ac:dyDescent="0.3">
      <c r="B11" s="274">
        <v>4</v>
      </c>
      <c r="C11" s="248" t="s">
        <v>13</v>
      </c>
      <c r="D11" s="249">
        <v>800</v>
      </c>
      <c r="E11" s="249">
        <v>25</v>
      </c>
      <c r="F11" s="250">
        <f t="shared" si="0"/>
        <v>3.125E-2</v>
      </c>
    </row>
    <row r="12" spans="1:6" ht="20.100000000000001" customHeight="1" x14ac:dyDescent="0.3">
      <c r="B12" s="274">
        <v>5</v>
      </c>
      <c r="C12" s="248" t="s">
        <v>15</v>
      </c>
      <c r="D12" s="249">
        <v>900</v>
      </c>
      <c r="E12" s="249">
        <v>25</v>
      </c>
      <c r="F12" s="250">
        <f t="shared" si="0"/>
        <v>2.7777777777777776E-2</v>
      </c>
    </row>
    <row r="13" spans="1:6" ht="20.100000000000001" customHeight="1" x14ac:dyDescent="0.3">
      <c r="B13" s="274">
        <v>6</v>
      </c>
      <c r="C13" s="248" t="s">
        <v>17</v>
      </c>
      <c r="D13" s="249">
        <v>4000</v>
      </c>
      <c r="E13" s="249">
        <v>25</v>
      </c>
      <c r="F13" s="250">
        <f t="shared" si="0"/>
        <v>6.2500000000000003E-3</v>
      </c>
    </row>
    <row r="14" spans="1:6" ht="20.100000000000001" customHeight="1" x14ac:dyDescent="0.3">
      <c r="B14" s="274">
        <v>7</v>
      </c>
      <c r="C14" s="248" t="s">
        <v>19</v>
      </c>
      <c r="D14" s="249">
        <v>4200</v>
      </c>
      <c r="E14" s="249">
        <v>300</v>
      </c>
      <c r="F14" s="250">
        <f t="shared" si="0"/>
        <v>7.1428571428571425E-2</v>
      </c>
    </row>
    <row r="15" spans="1:6" ht="20.100000000000001" customHeight="1" x14ac:dyDescent="0.3">
      <c r="B15" s="274">
        <v>8</v>
      </c>
      <c r="C15" s="248" t="s">
        <v>21</v>
      </c>
      <c r="D15" s="249">
        <v>3500</v>
      </c>
      <c r="E15" s="249">
        <v>200</v>
      </c>
      <c r="F15" s="250">
        <f t="shared" si="0"/>
        <v>5.7142857142857141E-2</v>
      </c>
    </row>
    <row r="16" spans="1:6" ht="20.100000000000001" customHeight="1" x14ac:dyDescent="0.3">
      <c r="B16" s="274">
        <v>9</v>
      </c>
      <c r="C16" s="248" t="s">
        <v>23</v>
      </c>
      <c r="D16" s="249">
        <v>3000</v>
      </c>
      <c r="E16" s="249">
        <v>242</v>
      </c>
      <c r="F16" s="250">
        <f t="shared" si="0"/>
        <v>8.0666666666666664E-2</v>
      </c>
    </row>
    <row r="17" spans="1:7" ht="20.100000000000001" customHeight="1" x14ac:dyDescent="0.3">
      <c r="B17" s="274">
        <v>10</v>
      </c>
      <c r="C17" s="248" t="s">
        <v>25</v>
      </c>
      <c r="D17" s="249">
        <v>5000</v>
      </c>
      <c r="E17" s="249">
        <v>122</v>
      </c>
      <c r="F17" s="250">
        <f t="shared" si="0"/>
        <v>2.4400000000000002E-2</v>
      </c>
    </row>
    <row r="18" spans="1:7" x14ac:dyDescent="0.3">
      <c r="A18" s="50"/>
      <c r="B18" s="50"/>
      <c r="C18" s="49"/>
      <c r="D18" s="51"/>
      <c r="E18" s="51"/>
      <c r="F18" s="52"/>
    </row>
    <row r="19" spans="1:7" x14ac:dyDescent="0.3">
      <c r="A19" s="50"/>
      <c r="B19" s="50"/>
      <c r="C19" s="49"/>
      <c r="D19" s="51"/>
      <c r="E19" s="51"/>
      <c r="F19" s="52"/>
    </row>
    <row r="20" spans="1:7" ht="14.25" thickBot="1" x14ac:dyDescent="0.35">
      <c r="A20" s="50"/>
      <c r="B20" s="50"/>
      <c r="C20" s="49"/>
      <c r="D20" s="51"/>
      <c r="E20" s="51"/>
      <c r="F20" s="52"/>
    </row>
    <row r="21" spans="1:7" ht="15.75" thickBot="1" x14ac:dyDescent="0.35">
      <c r="A21" s="323" t="s">
        <v>336</v>
      </c>
      <c r="B21" s="324"/>
      <c r="C21" s="325"/>
      <c r="D21" s="51"/>
      <c r="E21" s="51"/>
      <c r="F21" s="52"/>
    </row>
    <row r="22" spans="1:7" x14ac:dyDescent="0.3">
      <c r="A22" s="50"/>
      <c r="B22" s="50"/>
      <c r="C22" s="49"/>
      <c r="D22" s="51"/>
      <c r="E22" s="51"/>
      <c r="F22" s="52"/>
    </row>
    <row r="23" spans="1:7" x14ac:dyDescent="0.3">
      <c r="A23" s="50"/>
      <c r="B23" s="50"/>
      <c r="C23" s="49"/>
      <c r="D23" s="51"/>
      <c r="E23" s="51"/>
      <c r="F23" s="52"/>
    </row>
    <row r="24" spans="1:7" ht="14.25" thickBot="1" x14ac:dyDescent="0.35"/>
    <row r="25" spans="1:7" ht="14.25" thickBot="1" x14ac:dyDescent="0.35">
      <c r="A25" s="221"/>
      <c r="B25" s="221" t="s">
        <v>331</v>
      </c>
      <c r="C25" s="221" t="s">
        <v>332</v>
      </c>
      <c r="D25" s="221" t="s">
        <v>333</v>
      </c>
      <c r="E25" s="221" t="s">
        <v>85</v>
      </c>
      <c r="F25" s="221" t="s">
        <v>334</v>
      </c>
    </row>
    <row r="26" spans="1:7" ht="17.25" thickBot="1" x14ac:dyDescent="0.35">
      <c r="A26" s="222">
        <v>1</v>
      </c>
      <c r="B26" s="326" t="s">
        <v>0</v>
      </c>
      <c r="C26" s="327"/>
      <c r="D26" s="327"/>
      <c r="E26" s="327"/>
      <c r="F26" s="328"/>
    </row>
    <row r="27" spans="1:7" ht="17.25" thickBot="1" x14ac:dyDescent="0.35">
      <c r="A27" s="222">
        <v>2</v>
      </c>
      <c r="B27" s="329" t="s">
        <v>1</v>
      </c>
      <c r="C27" s="330"/>
      <c r="D27" s="330"/>
      <c r="E27" s="330"/>
      <c r="F27" s="331"/>
    </row>
    <row r="28" spans="1:7" ht="14.25" thickBot="1" x14ac:dyDescent="0.35">
      <c r="A28" s="222">
        <v>3</v>
      </c>
    </row>
    <row r="29" spans="1:7" ht="30" customHeight="1" thickBot="1" x14ac:dyDescent="0.35">
      <c r="A29" s="222">
        <v>4</v>
      </c>
      <c r="B29" s="1" t="s">
        <v>2</v>
      </c>
      <c r="C29" s="2" t="s">
        <v>3</v>
      </c>
      <c r="D29" s="2" t="s">
        <v>4</v>
      </c>
      <c r="E29" s="2" t="s">
        <v>5</v>
      </c>
      <c r="F29" s="3" t="s">
        <v>6</v>
      </c>
      <c r="G29" s="6"/>
    </row>
    <row r="30" spans="1:7" ht="20.100000000000001" customHeight="1" thickBot="1" x14ac:dyDescent="0.35">
      <c r="A30" s="222">
        <v>5</v>
      </c>
      <c r="B30" s="23">
        <v>1</v>
      </c>
      <c r="C30" s="10" t="s">
        <v>7</v>
      </c>
      <c r="D30" s="10">
        <v>1000</v>
      </c>
      <c r="E30" s="10">
        <v>75</v>
      </c>
      <c r="F30" s="24" t="s">
        <v>8</v>
      </c>
      <c r="G30" s="53"/>
    </row>
    <row r="31" spans="1:7" ht="20.100000000000001" customHeight="1" thickBot="1" x14ac:dyDescent="0.35">
      <c r="A31" s="222">
        <v>6</v>
      </c>
      <c r="B31" s="25">
        <v>2</v>
      </c>
      <c r="C31" s="15" t="s">
        <v>9</v>
      </c>
      <c r="D31" s="15">
        <v>1500</v>
      </c>
      <c r="E31" s="15">
        <v>100</v>
      </c>
      <c r="F31" s="26" t="s">
        <v>10</v>
      </c>
      <c r="G31" s="53"/>
    </row>
    <row r="32" spans="1:7" ht="20.100000000000001" customHeight="1" thickBot="1" x14ac:dyDescent="0.35">
      <c r="A32" s="222">
        <v>7</v>
      </c>
      <c r="B32" s="25">
        <v>3</v>
      </c>
      <c r="C32" s="15" t="s">
        <v>11</v>
      </c>
      <c r="D32" s="15">
        <v>1200</v>
      </c>
      <c r="E32" s="15">
        <v>50</v>
      </c>
      <c r="F32" s="26" t="s">
        <v>12</v>
      </c>
      <c r="G32" s="53"/>
    </row>
    <row r="33" spans="1:7" ht="20.100000000000001" customHeight="1" thickBot="1" x14ac:dyDescent="0.35">
      <c r="A33" s="222">
        <v>8</v>
      </c>
      <c r="B33" s="25">
        <v>4</v>
      </c>
      <c r="C33" s="15" t="s">
        <v>13</v>
      </c>
      <c r="D33" s="15">
        <v>800</v>
      </c>
      <c r="E33" s="15">
        <v>25</v>
      </c>
      <c r="F33" s="26" t="s">
        <v>14</v>
      </c>
      <c r="G33" s="53"/>
    </row>
    <row r="34" spans="1:7" ht="20.100000000000001" customHeight="1" thickBot="1" x14ac:dyDescent="0.35">
      <c r="A34" s="222">
        <v>9</v>
      </c>
      <c r="B34" s="25">
        <v>5</v>
      </c>
      <c r="C34" s="15" t="s">
        <v>15</v>
      </c>
      <c r="D34" s="15">
        <v>900</v>
      </c>
      <c r="E34" s="15">
        <v>25</v>
      </c>
      <c r="F34" s="26" t="s">
        <v>16</v>
      </c>
    </row>
    <row r="35" spans="1:7" ht="20.100000000000001" customHeight="1" thickBot="1" x14ac:dyDescent="0.35">
      <c r="A35" s="222">
        <v>10</v>
      </c>
      <c r="B35" s="25">
        <v>6</v>
      </c>
      <c r="C35" s="15" t="s">
        <v>17</v>
      </c>
      <c r="D35" s="15">
        <v>4000</v>
      </c>
      <c r="E35" s="15">
        <v>25</v>
      </c>
      <c r="F35" s="26" t="s">
        <v>18</v>
      </c>
      <c r="G35" s="53"/>
    </row>
    <row r="36" spans="1:7" ht="20.100000000000001" customHeight="1" thickBot="1" x14ac:dyDescent="0.35">
      <c r="A36" s="222">
        <v>11</v>
      </c>
      <c r="B36" s="25">
        <v>7</v>
      </c>
      <c r="C36" s="15" t="s">
        <v>19</v>
      </c>
      <c r="D36" s="15">
        <v>4200</v>
      </c>
      <c r="E36" s="15">
        <v>300</v>
      </c>
      <c r="F36" s="26" t="s">
        <v>20</v>
      </c>
      <c r="G36" s="53"/>
    </row>
    <row r="37" spans="1:7" ht="20.100000000000001" customHeight="1" thickBot="1" x14ac:dyDescent="0.35">
      <c r="A37" s="222">
        <v>12</v>
      </c>
      <c r="B37" s="25">
        <v>8</v>
      </c>
      <c r="C37" s="15" t="s">
        <v>21</v>
      </c>
      <c r="D37" s="15">
        <v>3500</v>
      </c>
      <c r="E37" s="15">
        <v>200</v>
      </c>
      <c r="F37" s="26" t="s">
        <v>22</v>
      </c>
      <c r="G37" s="53"/>
    </row>
    <row r="38" spans="1:7" ht="20.100000000000001" customHeight="1" thickBot="1" x14ac:dyDescent="0.35">
      <c r="A38" s="222">
        <v>13</v>
      </c>
      <c r="B38" s="25">
        <v>9</v>
      </c>
      <c r="C38" s="15" t="s">
        <v>23</v>
      </c>
      <c r="D38" s="15">
        <v>3000</v>
      </c>
      <c r="E38" s="15">
        <v>242</v>
      </c>
      <c r="F38" s="26" t="s">
        <v>24</v>
      </c>
      <c r="G38" s="53"/>
    </row>
    <row r="39" spans="1:7" ht="20.100000000000001" customHeight="1" thickBot="1" x14ac:dyDescent="0.35">
      <c r="A39" s="222">
        <v>14</v>
      </c>
      <c r="B39" s="27">
        <v>10</v>
      </c>
      <c r="C39" s="18" t="s">
        <v>25</v>
      </c>
      <c r="D39" s="18">
        <v>5000</v>
      </c>
      <c r="E39" s="18">
        <v>122</v>
      </c>
      <c r="F39" s="28" t="s">
        <v>26</v>
      </c>
      <c r="G39" s="53"/>
    </row>
  </sheetData>
  <mergeCells count="6">
    <mergeCell ref="A1:C1"/>
    <mergeCell ref="A21:C21"/>
    <mergeCell ref="B26:F26"/>
    <mergeCell ref="B27:F27"/>
    <mergeCell ref="B4:F4"/>
    <mergeCell ref="B5:F5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G20" sqref="G20"/>
    </sheetView>
  </sheetViews>
  <sheetFormatPr defaultRowHeight="13.5" x14ac:dyDescent="0.3"/>
  <cols>
    <col min="1" max="1" width="3.625" style="30" customWidth="1"/>
    <col min="2" max="2" width="5.75" style="30" customWidth="1"/>
    <col min="3" max="3" width="6.75" style="30" customWidth="1"/>
    <col min="4" max="4" width="19.625" style="30" bestFit="1" customWidth="1"/>
    <col min="5" max="5" width="9.875" style="30" customWidth="1"/>
    <col min="6" max="6" width="9" style="30"/>
    <col min="7" max="7" width="10.875" style="30" bestFit="1" customWidth="1"/>
    <col min="8" max="8" width="10.875" style="30" customWidth="1"/>
    <col min="9" max="16384" width="9" style="30"/>
  </cols>
  <sheetData>
    <row r="1" spans="1:8" ht="15.75" thickBot="1" x14ac:dyDescent="0.35">
      <c r="A1" s="323" t="s">
        <v>337</v>
      </c>
      <c r="B1" s="324"/>
      <c r="C1" s="325"/>
    </row>
    <row r="3" spans="1:8" x14ac:dyDescent="0.3">
      <c r="A3" s="77"/>
    </row>
    <row r="4" spans="1:8" x14ac:dyDescent="0.3">
      <c r="A4" s="77"/>
      <c r="B4" s="77"/>
      <c r="C4" s="77"/>
      <c r="D4" s="77"/>
      <c r="E4" s="77"/>
      <c r="F4" s="77"/>
      <c r="G4" s="77"/>
      <c r="H4" s="77"/>
    </row>
    <row r="5" spans="1:8" ht="20.100000000000001" customHeight="1" x14ac:dyDescent="0.3">
      <c r="A5" s="77"/>
      <c r="B5" s="340" t="s">
        <v>34</v>
      </c>
      <c r="C5" s="341"/>
      <c r="D5" s="341"/>
      <c r="E5" s="341"/>
      <c r="F5" s="341"/>
      <c r="G5" s="341"/>
      <c r="H5" s="342"/>
    </row>
    <row r="6" spans="1:8" ht="20.100000000000001" customHeight="1" x14ac:dyDescent="0.3">
      <c r="A6" s="77"/>
      <c r="B6" s="343" t="s">
        <v>374</v>
      </c>
      <c r="C6" s="344"/>
      <c r="D6" s="344"/>
      <c r="E6" s="344"/>
      <c r="F6" s="344"/>
      <c r="G6" s="344"/>
      <c r="H6" s="345"/>
    </row>
    <row r="7" spans="1:8" ht="20.100000000000001" customHeight="1" x14ac:dyDescent="0.3">
      <c r="A7" s="77"/>
      <c r="B7" s="33" t="s">
        <v>35</v>
      </c>
      <c r="E7" s="34">
        <v>45814</v>
      </c>
    </row>
    <row r="8" spans="1:8" ht="20.100000000000001" customHeight="1" x14ac:dyDescent="0.3">
      <c r="A8" s="77"/>
      <c r="B8" s="32" t="s">
        <v>36</v>
      </c>
      <c r="E8" s="35">
        <v>0.1</v>
      </c>
    </row>
    <row r="9" spans="1:8" ht="30" x14ac:dyDescent="0.3">
      <c r="A9" s="77"/>
      <c r="B9" s="273" t="s">
        <v>2</v>
      </c>
      <c r="C9" s="273" t="s">
        <v>3</v>
      </c>
      <c r="D9" s="273" t="s">
        <v>37</v>
      </c>
      <c r="E9" s="273" t="s">
        <v>38</v>
      </c>
      <c r="F9" s="273" t="s">
        <v>39</v>
      </c>
      <c r="G9" s="273" t="s">
        <v>40</v>
      </c>
      <c r="H9" s="273" t="s">
        <v>41</v>
      </c>
    </row>
    <row r="10" spans="1:8" ht="20.100000000000001" customHeight="1" x14ac:dyDescent="0.3">
      <c r="A10" s="77"/>
      <c r="B10" s="274">
        <v>1</v>
      </c>
      <c r="C10" s="39" t="s">
        <v>42</v>
      </c>
      <c r="D10" s="39" t="s">
        <v>43</v>
      </c>
      <c r="E10" s="15">
        <v>15</v>
      </c>
      <c r="F10" s="40">
        <v>3500</v>
      </c>
      <c r="G10" s="108">
        <f t="shared" ref="G10:G15" si="0">F10*E10</f>
        <v>52500</v>
      </c>
      <c r="H10" s="108">
        <f t="shared" ref="H10:H15" si="1">G10*$E$8</f>
        <v>5250</v>
      </c>
    </row>
    <row r="11" spans="1:8" ht="20.100000000000001" customHeight="1" x14ac:dyDescent="0.3">
      <c r="A11" s="77"/>
      <c r="B11" s="274">
        <v>2</v>
      </c>
      <c r="C11" s="39" t="s">
        <v>44</v>
      </c>
      <c r="D11" s="39" t="s">
        <v>45</v>
      </c>
      <c r="E11" s="15">
        <v>10</v>
      </c>
      <c r="F11" s="40">
        <v>9000</v>
      </c>
      <c r="G11" s="108">
        <f t="shared" si="0"/>
        <v>90000</v>
      </c>
      <c r="H11" s="108">
        <f t="shared" si="1"/>
        <v>9000</v>
      </c>
    </row>
    <row r="12" spans="1:8" ht="20.100000000000001" customHeight="1" x14ac:dyDescent="0.3">
      <c r="A12" s="77"/>
      <c r="B12" s="274">
        <v>3</v>
      </c>
      <c r="C12" s="39" t="s">
        <v>46</v>
      </c>
      <c r="D12" s="39" t="s">
        <v>379</v>
      </c>
      <c r="E12" s="4">
        <v>20</v>
      </c>
      <c r="F12" s="40">
        <v>3250</v>
      </c>
      <c r="G12" s="108">
        <f t="shared" si="0"/>
        <v>65000</v>
      </c>
      <c r="H12" s="108">
        <f t="shared" si="1"/>
        <v>6500</v>
      </c>
    </row>
    <row r="13" spans="1:8" ht="20.100000000000001" customHeight="1" x14ac:dyDescent="0.3">
      <c r="A13" s="77"/>
      <c r="B13" s="274">
        <v>4</v>
      </c>
      <c r="C13" s="39" t="s">
        <v>48</v>
      </c>
      <c r="D13" s="39" t="s">
        <v>380</v>
      </c>
      <c r="E13" s="4">
        <v>25</v>
      </c>
      <c r="F13" s="40">
        <v>17500</v>
      </c>
      <c r="G13" s="108">
        <f t="shared" si="0"/>
        <v>437500</v>
      </c>
      <c r="H13" s="108">
        <f t="shared" si="1"/>
        <v>43750</v>
      </c>
    </row>
    <row r="14" spans="1:8" ht="20.100000000000001" customHeight="1" x14ac:dyDescent="0.3">
      <c r="A14" s="77"/>
      <c r="B14" s="274">
        <v>5</v>
      </c>
      <c r="C14" s="39" t="s">
        <v>50</v>
      </c>
      <c r="D14" s="39" t="s">
        <v>51</v>
      </c>
      <c r="E14" s="4">
        <v>10</v>
      </c>
      <c r="F14" s="40">
        <v>3000</v>
      </c>
      <c r="G14" s="108">
        <f t="shared" si="0"/>
        <v>30000</v>
      </c>
      <c r="H14" s="108">
        <f t="shared" si="1"/>
        <v>3000</v>
      </c>
    </row>
    <row r="15" spans="1:8" ht="20.100000000000001" customHeight="1" x14ac:dyDescent="0.3">
      <c r="A15" s="77"/>
      <c r="B15" s="274">
        <v>6</v>
      </c>
      <c r="C15" s="39" t="s">
        <v>52</v>
      </c>
      <c r="D15" s="39" t="s">
        <v>53</v>
      </c>
      <c r="E15" s="4">
        <v>20</v>
      </c>
      <c r="F15" s="40">
        <v>21500</v>
      </c>
      <c r="G15" s="108">
        <f t="shared" si="0"/>
        <v>430000</v>
      </c>
      <c r="H15" s="108">
        <f t="shared" si="1"/>
        <v>43000</v>
      </c>
    </row>
    <row r="16" spans="1:8" ht="20.100000000000001" customHeight="1" x14ac:dyDescent="0.3">
      <c r="A16" s="77"/>
      <c r="B16" s="337" t="s">
        <v>54</v>
      </c>
      <c r="C16" s="338"/>
      <c r="D16" s="338"/>
      <c r="E16" s="338"/>
      <c r="F16" s="339"/>
      <c r="G16" s="252">
        <f>SUM(G10:G15)</f>
        <v>1105000</v>
      </c>
      <c r="H16" s="251">
        <f>SUM(H10:H15)</f>
        <v>110500</v>
      </c>
    </row>
    <row r="17" spans="1:8" x14ac:dyDescent="0.3">
      <c r="A17" s="77"/>
    </row>
    <row r="18" spans="1:8" ht="14.25" x14ac:dyDescent="0.3">
      <c r="A18" s="77"/>
      <c r="B18" s="105" t="s">
        <v>55</v>
      </c>
      <c r="C18" s="101"/>
    </row>
    <row r="19" spans="1:8" x14ac:dyDescent="0.3">
      <c r="B19" s="101"/>
      <c r="C19" s="101" t="s">
        <v>56</v>
      </c>
    </row>
    <row r="20" spans="1:8" x14ac:dyDescent="0.3">
      <c r="B20" s="101"/>
      <c r="C20" s="101" t="s">
        <v>57</v>
      </c>
    </row>
    <row r="22" spans="1:8" ht="14.25" thickBot="1" x14ac:dyDescent="0.35"/>
    <row r="23" spans="1:8" ht="15.75" thickBot="1" x14ac:dyDescent="0.35">
      <c r="A23" s="323" t="s">
        <v>337</v>
      </c>
      <c r="B23" s="324"/>
      <c r="C23" s="325"/>
    </row>
    <row r="26" spans="1:8" x14ac:dyDescent="0.3">
      <c r="A26" s="276"/>
      <c r="B26" s="276"/>
      <c r="C26" s="276"/>
      <c r="D26" s="276"/>
      <c r="E26" s="276"/>
      <c r="F26" s="276"/>
      <c r="G26" s="276"/>
      <c r="H26" s="276"/>
    </row>
    <row r="27" spans="1:8" ht="16.5" x14ac:dyDescent="0.3">
      <c r="A27" s="277"/>
      <c r="B27" s="333" t="s">
        <v>34</v>
      </c>
      <c r="C27" s="334"/>
      <c r="D27" s="334"/>
      <c r="E27" s="334"/>
      <c r="F27" s="334"/>
      <c r="G27" s="334"/>
      <c r="H27" s="335"/>
    </row>
    <row r="28" spans="1:8" ht="17.25" thickBot="1" x14ac:dyDescent="0.35">
      <c r="A28" s="277"/>
      <c r="B28" s="336" t="s">
        <v>374</v>
      </c>
      <c r="C28" s="330"/>
      <c r="D28" s="330"/>
      <c r="E28" s="330"/>
      <c r="F28" s="330"/>
      <c r="G28" s="330"/>
      <c r="H28" s="331"/>
    </row>
    <row r="29" spans="1:8" ht="20.100000000000001" customHeight="1" x14ac:dyDescent="0.3">
      <c r="A29" s="277"/>
      <c r="B29" s="33" t="s">
        <v>35</v>
      </c>
      <c r="C29" s="32"/>
      <c r="D29" s="32"/>
      <c r="E29" s="34">
        <v>39970</v>
      </c>
    </row>
    <row r="30" spans="1:8" ht="20.100000000000001" customHeight="1" thickBot="1" x14ac:dyDescent="0.35">
      <c r="A30" s="277"/>
      <c r="B30" s="32" t="s">
        <v>36</v>
      </c>
      <c r="C30" s="32"/>
      <c r="D30" s="32"/>
      <c r="E30" s="35">
        <v>0.1</v>
      </c>
    </row>
    <row r="31" spans="1:8" ht="30.75" thickBot="1" x14ac:dyDescent="0.35">
      <c r="A31" s="277"/>
      <c r="B31" s="2" t="s">
        <v>2</v>
      </c>
      <c r="C31" s="2" t="s">
        <v>3</v>
      </c>
      <c r="D31" s="2" t="s">
        <v>37</v>
      </c>
      <c r="E31" s="2" t="s">
        <v>38</v>
      </c>
      <c r="F31" s="2" t="s">
        <v>39</v>
      </c>
      <c r="G31" s="2" t="s">
        <v>40</v>
      </c>
      <c r="H31" s="3" t="s">
        <v>41</v>
      </c>
    </row>
    <row r="32" spans="1:8" ht="20.100000000000001" customHeight="1" x14ac:dyDescent="0.3">
      <c r="A32" s="277"/>
      <c r="B32" s="36">
        <v>1</v>
      </c>
      <c r="C32" s="10" t="s">
        <v>42</v>
      </c>
      <c r="D32" s="36" t="s">
        <v>43</v>
      </c>
      <c r="E32" s="10">
        <v>15</v>
      </c>
      <c r="F32" s="37">
        <v>7500</v>
      </c>
      <c r="G32" s="37">
        <f t="shared" ref="G32:G37" si="2">E32*F32</f>
        <v>112500</v>
      </c>
      <c r="H32" s="38">
        <f>G32*E30</f>
        <v>11250</v>
      </c>
    </row>
    <row r="33" spans="1:8" ht="20.100000000000001" customHeight="1" x14ac:dyDescent="0.3">
      <c r="A33" s="277"/>
      <c r="B33" s="39">
        <v>2</v>
      </c>
      <c r="C33" s="15" t="s">
        <v>44</v>
      </c>
      <c r="D33" s="39" t="s">
        <v>45</v>
      </c>
      <c r="E33" s="15">
        <v>10</v>
      </c>
      <c r="F33" s="40">
        <v>2000</v>
      </c>
      <c r="G33" s="40">
        <f t="shared" si="2"/>
        <v>20000</v>
      </c>
      <c r="H33" s="41">
        <f>G33*E30</f>
        <v>2000</v>
      </c>
    </row>
    <row r="34" spans="1:8" ht="20.100000000000001" customHeight="1" x14ac:dyDescent="0.3">
      <c r="A34" s="277"/>
      <c r="B34" s="39">
        <v>3</v>
      </c>
      <c r="C34" s="15" t="s">
        <v>46</v>
      </c>
      <c r="D34" s="39" t="s">
        <v>47</v>
      </c>
      <c r="E34" s="4">
        <v>20</v>
      </c>
      <c r="F34" s="40">
        <v>3250</v>
      </c>
      <c r="G34" s="40">
        <f t="shared" si="2"/>
        <v>65000</v>
      </c>
      <c r="H34" s="41">
        <f>G34*E30</f>
        <v>6500</v>
      </c>
    </row>
    <row r="35" spans="1:8" ht="20.100000000000001" customHeight="1" x14ac:dyDescent="0.3">
      <c r="A35" s="277"/>
      <c r="B35" s="39">
        <v>4</v>
      </c>
      <c r="C35" s="15" t="s">
        <v>48</v>
      </c>
      <c r="D35" s="39" t="s">
        <v>49</v>
      </c>
      <c r="E35" s="4">
        <v>25</v>
      </c>
      <c r="F35" s="40">
        <v>1000</v>
      </c>
      <c r="G35" s="40">
        <f t="shared" si="2"/>
        <v>25000</v>
      </c>
      <c r="H35" s="41">
        <f>G35*E30</f>
        <v>2500</v>
      </c>
    </row>
    <row r="36" spans="1:8" ht="20.100000000000001" customHeight="1" x14ac:dyDescent="0.3">
      <c r="A36" s="277"/>
      <c r="B36" s="39">
        <v>5</v>
      </c>
      <c r="C36" s="15" t="s">
        <v>50</v>
      </c>
      <c r="D36" s="39" t="s">
        <v>51</v>
      </c>
      <c r="E36" s="4">
        <v>10</v>
      </c>
      <c r="F36" s="40">
        <v>6000</v>
      </c>
      <c r="G36" s="40">
        <f t="shared" si="2"/>
        <v>60000</v>
      </c>
      <c r="H36" s="41">
        <f>G36*E30</f>
        <v>6000</v>
      </c>
    </row>
    <row r="37" spans="1:8" ht="20.100000000000001" customHeight="1" thickBot="1" x14ac:dyDescent="0.35">
      <c r="A37" s="277"/>
      <c r="B37" s="42">
        <v>6</v>
      </c>
      <c r="C37" s="54" t="s">
        <v>52</v>
      </c>
      <c r="D37" s="42" t="s">
        <v>53</v>
      </c>
      <c r="E37" s="5">
        <v>20</v>
      </c>
      <c r="F37" s="43">
        <v>1200</v>
      </c>
      <c r="G37" s="43">
        <f t="shared" si="2"/>
        <v>24000</v>
      </c>
      <c r="H37" s="44">
        <f>G37*E30</f>
        <v>2400</v>
      </c>
    </row>
    <row r="38" spans="1:8" ht="20.100000000000001" customHeight="1" thickBot="1" x14ac:dyDescent="0.35">
      <c r="A38" s="277"/>
      <c r="B38" s="45" t="s">
        <v>133</v>
      </c>
      <c r="C38" s="45"/>
      <c r="D38" s="45"/>
      <c r="E38" s="46"/>
      <c r="F38" s="47"/>
      <c r="G38" s="47"/>
      <c r="H38" s="48">
        <f>SUM(H32:H37)</f>
        <v>30650</v>
      </c>
    </row>
  </sheetData>
  <mergeCells count="7">
    <mergeCell ref="B27:H27"/>
    <mergeCell ref="B28:H28"/>
    <mergeCell ref="A1:C1"/>
    <mergeCell ref="A23:C23"/>
    <mergeCell ref="B16:F16"/>
    <mergeCell ref="B5:H5"/>
    <mergeCell ref="B6:H6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activeCell="J22" sqref="J22"/>
    </sheetView>
  </sheetViews>
  <sheetFormatPr defaultRowHeight="13.5" x14ac:dyDescent="0.3"/>
  <cols>
    <col min="1" max="1" width="3.625" style="30" customWidth="1"/>
    <col min="2" max="2" width="4.625" style="30" customWidth="1"/>
    <col min="3" max="4" width="9" style="30"/>
    <col min="5" max="9" width="7.625" style="30" customWidth="1"/>
    <col min="10" max="16384" width="9" style="30"/>
  </cols>
  <sheetData>
    <row r="1" spans="1:9" ht="15.75" thickBot="1" x14ac:dyDescent="0.35">
      <c r="A1" s="323" t="s">
        <v>341</v>
      </c>
      <c r="B1" s="324"/>
      <c r="C1" s="325"/>
    </row>
    <row r="4" spans="1:9" ht="15" x14ac:dyDescent="0.3">
      <c r="B4" s="355" t="s">
        <v>369</v>
      </c>
      <c r="C4" s="356"/>
      <c r="D4" s="356"/>
      <c r="E4" s="356"/>
      <c r="F4" s="356"/>
      <c r="G4" s="356"/>
      <c r="H4" s="356"/>
      <c r="I4" s="357"/>
    </row>
    <row r="5" spans="1:9" ht="15" x14ac:dyDescent="0.3">
      <c r="B5" s="358" t="s">
        <v>356</v>
      </c>
      <c r="C5" s="359"/>
      <c r="D5" s="359"/>
      <c r="E5" s="359"/>
      <c r="F5" s="359"/>
      <c r="G5" s="359"/>
      <c r="H5" s="359"/>
      <c r="I5" s="360"/>
    </row>
    <row r="6" spans="1:9" x14ac:dyDescent="0.3">
      <c r="B6" s="31"/>
      <c r="C6" s="31"/>
      <c r="D6" s="31"/>
      <c r="E6" s="31"/>
      <c r="F6" s="31"/>
      <c r="G6" s="31"/>
      <c r="H6" s="31"/>
      <c r="I6" s="31"/>
    </row>
    <row r="7" spans="1:9" ht="15" x14ac:dyDescent="0.3">
      <c r="B7" s="354" t="s">
        <v>59</v>
      </c>
      <c r="C7" s="354" t="s">
        <v>35</v>
      </c>
      <c r="D7" s="354" t="s">
        <v>60</v>
      </c>
      <c r="E7" s="354" t="s">
        <v>61</v>
      </c>
      <c r="F7" s="354"/>
      <c r="G7" s="354"/>
      <c r="H7" s="354"/>
      <c r="I7" s="364" t="s">
        <v>62</v>
      </c>
    </row>
    <row r="8" spans="1:9" ht="15" x14ac:dyDescent="0.3">
      <c r="B8" s="354"/>
      <c r="C8" s="354"/>
      <c r="D8" s="354"/>
      <c r="E8" s="255" t="s">
        <v>63</v>
      </c>
      <c r="F8" s="255" t="s">
        <v>64</v>
      </c>
      <c r="G8" s="255" t="s">
        <v>65</v>
      </c>
      <c r="H8" s="255" t="s">
        <v>66</v>
      </c>
      <c r="I8" s="364"/>
    </row>
    <row r="9" spans="1:9" ht="15" x14ac:dyDescent="0.3">
      <c r="B9" s="361" t="s">
        <v>67</v>
      </c>
      <c r="C9" s="361"/>
      <c r="D9" s="361"/>
      <c r="E9" s="361"/>
      <c r="F9" s="361"/>
      <c r="G9" s="361"/>
      <c r="H9" s="361"/>
      <c r="I9" s="256">
        <v>50</v>
      </c>
    </row>
    <row r="10" spans="1:9" x14ac:dyDescent="0.3">
      <c r="B10" s="39">
        <v>1</v>
      </c>
      <c r="C10" s="253">
        <v>45814</v>
      </c>
      <c r="D10" s="39" t="s">
        <v>68</v>
      </c>
      <c r="E10" s="39">
        <v>1000</v>
      </c>
      <c r="F10" s="39">
        <v>0</v>
      </c>
      <c r="G10" s="39">
        <v>700</v>
      </c>
      <c r="H10" s="39">
        <v>2</v>
      </c>
      <c r="I10" s="254">
        <f>(I9+E10+F10)-(G10+H10)</f>
        <v>348</v>
      </c>
    </row>
    <row r="11" spans="1:9" x14ac:dyDescent="0.3">
      <c r="B11" s="39">
        <v>2</v>
      </c>
      <c r="C11" s="253">
        <v>45815</v>
      </c>
      <c r="D11" s="39" t="s">
        <v>69</v>
      </c>
      <c r="E11" s="39">
        <v>0</v>
      </c>
      <c r="F11" s="39">
        <v>4</v>
      </c>
      <c r="G11" s="39">
        <v>400</v>
      </c>
      <c r="H11" s="39">
        <v>0</v>
      </c>
      <c r="I11" s="254">
        <f t="shared" ref="I11:I19" si="0">(I10+E11+F11)-(G11+H11)</f>
        <v>-48</v>
      </c>
    </row>
    <row r="12" spans="1:9" x14ac:dyDescent="0.3">
      <c r="B12" s="39">
        <v>3</v>
      </c>
      <c r="C12" s="253">
        <v>45818</v>
      </c>
      <c r="D12" s="39" t="s">
        <v>70</v>
      </c>
      <c r="E12" s="39">
        <v>590</v>
      </c>
      <c r="F12" s="39">
        <v>1</v>
      </c>
      <c r="G12" s="39">
        <v>0</v>
      </c>
      <c r="H12" s="39">
        <v>0</v>
      </c>
      <c r="I12" s="254">
        <f t="shared" si="0"/>
        <v>543</v>
      </c>
    </row>
    <row r="13" spans="1:9" x14ac:dyDescent="0.3">
      <c r="B13" s="39">
        <v>4</v>
      </c>
      <c r="C13" s="253">
        <v>45819</v>
      </c>
      <c r="D13" s="39" t="s">
        <v>71</v>
      </c>
      <c r="E13" s="39">
        <v>1200</v>
      </c>
      <c r="F13" s="39">
        <v>0</v>
      </c>
      <c r="G13" s="39">
        <v>345</v>
      </c>
      <c r="H13" s="39">
        <v>0</v>
      </c>
      <c r="I13" s="254">
        <f t="shared" si="0"/>
        <v>1398</v>
      </c>
    </row>
    <row r="14" spans="1:9" x14ac:dyDescent="0.3">
      <c r="B14" s="39">
        <v>5</v>
      </c>
      <c r="C14" s="253">
        <v>45820</v>
      </c>
      <c r="D14" s="39" t="s">
        <v>72</v>
      </c>
      <c r="E14" s="39">
        <v>0</v>
      </c>
      <c r="F14" s="39">
        <v>6</v>
      </c>
      <c r="G14" s="39">
        <v>100</v>
      </c>
      <c r="H14" s="39">
        <v>4</v>
      </c>
      <c r="I14" s="254">
        <f t="shared" si="0"/>
        <v>1300</v>
      </c>
    </row>
    <row r="15" spans="1:9" x14ac:dyDescent="0.3">
      <c r="B15" s="39">
        <v>6</v>
      </c>
      <c r="C15" s="253">
        <v>45821</v>
      </c>
      <c r="D15" s="39" t="s">
        <v>68</v>
      </c>
      <c r="E15" s="39">
        <v>600</v>
      </c>
      <c r="F15" s="39">
        <v>0</v>
      </c>
      <c r="G15" s="39">
        <v>25</v>
      </c>
      <c r="H15" s="39">
        <v>0</v>
      </c>
      <c r="I15" s="254">
        <f t="shared" si="0"/>
        <v>1875</v>
      </c>
    </row>
    <row r="16" spans="1:9" x14ac:dyDescent="0.3">
      <c r="B16" s="39">
        <v>7</v>
      </c>
      <c r="C16" s="253">
        <v>45822</v>
      </c>
      <c r="D16" s="39" t="s">
        <v>69</v>
      </c>
      <c r="E16" s="39">
        <v>3000</v>
      </c>
      <c r="F16" s="39">
        <v>0</v>
      </c>
      <c r="G16" s="39">
        <v>0</v>
      </c>
      <c r="H16" s="39">
        <v>0</v>
      </c>
      <c r="I16" s="254">
        <f t="shared" si="0"/>
        <v>4875</v>
      </c>
    </row>
    <row r="17" spans="1:9" x14ac:dyDescent="0.3">
      <c r="B17" s="39">
        <v>8</v>
      </c>
      <c r="C17" s="253">
        <v>45825</v>
      </c>
      <c r="D17" s="39" t="s">
        <v>70</v>
      </c>
      <c r="E17" s="39">
        <v>0</v>
      </c>
      <c r="F17" s="39">
        <v>7</v>
      </c>
      <c r="G17" s="39">
        <v>50</v>
      </c>
      <c r="H17" s="39">
        <v>0</v>
      </c>
      <c r="I17" s="254">
        <f t="shared" si="0"/>
        <v>4832</v>
      </c>
    </row>
    <row r="18" spans="1:9" x14ac:dyDescent="0.3">
      <c r="B18" s="39">
        <v>9</v>
      </c>
      <c r="C18" s="253">
        <v>45826</v>
      </c>
      <c r="D18" s="39" t="s">
        <v>71</v>
      </c>
      <c r="E18" s="39">
        <v>2000</v>
      </c>
      <c r="F18" s="39">
        <v>25</v>
      </c>
      <c r="G18" s="39">
        <v>0</v>
      </c>
      <c r="H18" s="39">
        <v>1</v>
      </c>
      <c r="I18" s="254">
        <f t="shared" si="0"/>
        <v>6856</v>
      </c>
    </row>
    <row r="19" spans="1:9" x14ac:dyDescent="0.3">
      <c r="B19" s="39">
        <v>10</v>
      </c>
      <c r="C19" s="253">
        <v>45827</v>
      </c>
      <c r="D19" s="39" t="s">
        <v>72</v>
      </c>
      <c r="E19" s="39">
        <v>3450</v>
      </c>
      <c r="F19" s="39">
        <v>0</v>
      </c>
      <c r="G19" s="39">
        <v>0</v>
      </c>
      <c r="H19" s="39">
        <v>0</v>
      </c>
      <c r="I19" s="254">
        <f t="shared" si="0"/>
        <v>10306</v>
      </c>
    </row>
    <row r="20" spans="1:9" ht="15" x14ac:dyDescent="0.3">
      <c r="B20" s="354" t="s">
        <v>28</v>
      </c>
      <c r="C20" s="354"/>
      <c r="D20" s="354"/>
      <c r="E20" s="257">
        <f>SUM(E10:E19)</f>
        <v>11840</v>
      </c>
      <c r="F20" s="257">
        <f>SUM(F10:F19)</f>
        <v>43</v>
      </c>
      <c r="G20" s="257">
        <f>SUM(G10:G19)</f>
        <v>1620</v>
      </c>
      <c r="H20" s="257">
        <f>SUM(H10:H19)</f>
        <v>7</v>
      </c>
      <c r="I20" s="224"/>
    </row>
    <row r="21" spans="1:9" ht="15" x14ac:dyDescent="0.3">
      <c r="B21" s="354" t="s">
        <v>29</v>
      </c>
      <c r="C21" s="354"/>
      <c r="D21" s="354"/>
      <c r="E21" s="257">
        <f>AVERAGE(E10:E19)</f>
        <v>1184</v>
      </c>
      <c r="F21" s="257">
        <f>AVERAGE(F10:F19)</f>
        <v>4.3</v>
      </c>
      <c r="G21" s="257">
        <f>AVERAGE(G10:G19)</f>
        <v>162</v>
      </c>
      <c r="H21" s="257">
        <f>AVERAGE(H10:H19)</f>
        <v>0.7</v>
      </c>
      <c r="I21" s="224"/>
    </row>
    <row r="23" spans="1:9" ht="14.25" x14ac:dyDescent="0.3">
      <c r="B23" s="105" t="s">
        <v>55</v>
      </c>
      <c r="C23" s="101"/>
    </row>
    <row r="24" spans="1:9" x14ac:dyDescent="0.3">
      <c r="B24" s="101"/>
      <c r="C24" s="101" t="s">
        <v>354</v>
      </c>
    </row>
    <row r="25" spans="1:9" x14ac:dyDescent="0.3">
      <c r="B25" s="101"/>
      <c r="C25" s="101" t="s">
        <v>73</v>
      </c>
    </row>
    <row r="26" spans="1:9" x14ac:dyDescent="0.3">
      <c r="B26" s="101"/>
      <c r="C26" s="101" t="s">
        <v>74</v>
      </c>
    </row>
    <row r="27" spans="1:9" ht="14.25" thickBot="1" x14ac:dyDescent="0.35">
      <c r="B27" s="101"/>
      <c r="C27" s="101"/>
    </row>
    <row r="28" spans="1:9" ht="15.75" thickBot="1" x14ac:dyDescent="0.35">
      <c r="A28" s="323" t="s">
        <v>336</v>
      </c>
      <c r="B28" s="324"/>
      <c r="C28" s="325"/>
    </row>
    <row r="31" spans="1:9" x14ac:dyDescent="0.3">
      <c r="A31" s="277"/>
      <c r="B31" s="281"/>
      <c r="C31" s="281"/>
      <c r="D31" s="281"/>
      <c r="E31" s="281"/>
      <c r="F31" s="281"/>
      <c r="G31" s="281"/>
      <c r="H31" s="281"/>
      <c r="I31" s="281"/>
    </row>
    <row r="32" spans="1:9" ht="16.5" x14ac:dyDescent="0.3">
      <c r="A32" s="278"/>
      <c r="B32" s="362" t="s">
        <v>58</v>
      </c>
      <c r="C32" s="362"/>
      <c r="D32" s="362"/>
      <c r="E32" s="362"/>
      <c r="F32" s="362"/>
      <c r="G32" s="362"/>
      <c r="H32" s="362"/>
      <c r="I32" s="363"/>
    </row>
    <row r="33" spans="1:9" ht="17.25" thickBot="1" x14ac:dyDescent="0.35">
      <c r="A33" s="278"/>
      <c r="B33" s="330" t="s">
        <v>356</v>
      </c>
      <c r="C33" s="330"/>
      <c r="D33" s="330"/>
      <c r="E33" s="330"/>
      <c r="F33" s="330"/>
      <c r="G33" s="330"/>
      <c r="H33" s="330"/>
      <c r="I33" s="331"/>
    </row>
    <row r="34" spans="1:9" ht="14.25" thickBot="1" x14ac:dyDescent="0.35">
      <c r="A34" s="277"/>
      <c r="I34" s="31"/>
    </row>
    <row r="35" spans="1:9" ht="15.95" customHeight="1" thickBot="1" x14ac:dyDescent="0.35">
      <c r="A35" s="278"/>
      <c r="B35" s="325" t="s">
        <v>59</v>
      </c>
      <c r="C35" s="352" t="s">
        <v>35</v>
      </c>
      <c r="D35" s="352" t="s">
        <v>60</v>
      </c>
      <c r="E35" s="352" t="s">
        <v>61</v>
      </c>
      <c r="F35" s="352"/>
      <c r="G35" s="352"/>
      <c r="H35" s="352"/>
      <c r="I35" s="353" t="s">
        <v>62</v>
      </c>
    </row>
    <row r="36" spans="1:9" ht="15.95" customHeight="1" thickBot="1" x14ac:dyDescent="0.35">
      <c r="A36" s="278"/>
      <c r="B36" s="325"/>
      <c r="C36" s="352"/>
      <c r="D36" s="352"/>
      <c r="E36" s="8" t="s">
        <v>63</v>
      </c>
      <c r="F36" s="8" t="s">
        <v>64</v>
      </c>
      <c r="G36" s="8" t="s">
        <v>65</v>
      </c>
      <c r="H36" s="8" t="s">
        <v>66</v>
      </c>
      <c r="I36" s="353"/>
    </row>
    <row r="37" spans="1:9" ht="20.100000000000001" customHeight="1" thickBot="1" x14ac:dyDescent="0.35">
      <c r="A37" s="278"/>
      <c r="B37" s="346" t="s">
        <v>67</v>
      </c>
      <c r="C37" s="347"/>
      <c r="D37" s="347"/>
      <c r="E37" s="347"/>
      <c r="F37" s="347"/>
      <c r="G37" s="347"/>
      <c r="H37" s="347"/>
      <c r="I37" s="55">
        <v>50</v>
      </c>
    </row>
    <row r="38" spans="1:9" ht="20.100000000000001" customHeight="1" x14ac:dyDescent="0.3">
      <c r="A38" s="278"/>
      <c r="B38" s="279">
        <v>1</v>
      </c>
      <c r="C38" s="71">
        <v>39965</v>
      </c>
      <c r="D38" s="72" t="s">
        <v>68</v>
      </c>
      <c r="E38" s="57">
        <v>1000</v>
      </c>
      <c r="F38" s="58">
        <v>0</v>
      </c>
      <c r="G38" s="57">
        <v>700</v>
      </c>
      <c r="H38" s="59">
        <v>2</v>
      </c>
      <c r="I38" s="60">
        <f>(I37+E38+F38)-(G38+H38)</f>
        <v>348</v>
      </c>
    </row>
    <row r="39" spans="1:9" ht="20.100000000000001" customHeight="1" x14ac:dyDescent="0.3">
      <c r="A39" s="278"/>
      <c r="B39" s="275">
        <v>2</v>
      </c>
      <c r="C39" s="73">
        <v>39966</v>
      </c>
      <c r="D39" s="15" t="s">
        <v>69</v>
      </c>
      <c r="E39" s="61">
        <v>0</v>
      </c>
      <c r="F39" s="39">
        <v>4</v>
      </c>
      <c r="G39" s="39">
        <v>400</v>
      </c>
      <c r="H39" s="62">
        <v>0</v>
      </c>
      <c r="I39" s="63">
        <f t="shared" ref="I39:I47" si="1">(I38+E39+F39)-(G39+H39)</f>
        <v>-48</v>
      </c>
    </row>
    <row r="40" spans="1:9" ht="20.100000000000001" customHeight="1" x14ac:dyDescent="0.3">
      <c r="A40" s="278"/>
      <c r="B40" s="275">
        <v>3</v>
      </c>
      <c r="C40" s="73">
        <v>39969</v>
      </c>
      <c r="D40" s="15" t="s">
        <v>70</v>
      </c>
      <c r="E40" s="39">
        <v>590</v>
      </c>
      <c r="F40" s="39">
        <v>1</v>
      </c>
      <c r="G40" s="61">
        <v>0</v>
      </c>
      <c r="H40" s="62">
        <v>0</v>
      </c>
      <c r="I40" s="63">
        <f t="shared" si="1"/>
        <v>543</v>
      </c>
    </row>
    <row r="41" spans="1:9" ht="20.100000000000001" customHeight="1" x14ac:dyDescent="0.3">
      <c r="A41" s="278"/>
      <c r="B41" s="275">
        <v>4</v>
      </c>
      <c r="C41" s="73">
        <v>39970</v>
      </c>
      <c r="D41" s="15" t="s">
        <v>71</v>
      </c>
      <c r="E41" s="39">
        <v>1200</v>
      </c>
      <c r="F41" s="61">
        <v>0</v>
      </c>
      <c r="G41" s="39">
        <v>345</v>
      </c>
      <c r="H41" s="62">
        <v>0</v>
      </c>
      <c r="I41" s="63">
        <f t="shared" si="1"/>
        <v>1398</v>
      </c>
    </row>
    <row r="42" spans="1:9" ht="20.100000000000001" customHeight="1" x14ac:dyDescent="0.3">
      <c r="A42" s="278"/>
      <c r="B42" s="275">
        <v>5</v>
      </c>
      <c r="C42" s="73">
        <v>39971</v>
      </c>
      <c r="D42" s="15" t="s">
        <v>72</v>
      </c>
      <c r="E42" s="61">
        <v>0</v>
      </c>
      <c r="F42" s="39">
        <v>6</v>
      </c>
      <c r="G42" s="39">
        <v>100</v>
      </c>
      <c r="H42" s="64">
        <v>4</v>
      </c>
      <c r="I42" s="63">
        <f t="shared" si="1"/>
        <v>1300</v>
      </c>
    </row>
    <row r="43" spans="1:9" ht="20.100000000000001" customHeight="1" x14ac:dyDescent="0.3">
      <c r="A43" s="278"/>
      <c r="B43" s="275">
        <v>6</v>
      </c>
      <c r="C43" s="73">
        <v>39972</v>
      </c>
      <c r="D43" s="15" t="s">
        <v>68</v>
      </c>
      <c r="E43" s="39">
        <v>600</v>
      </c>
      <c r="F43" s="61">
        <v>0</v>
      </c>
      <c r="G43" s="39">
        <v>25</v>
      </c>
      <c r="H43" s="62">
        <v>0</v>
      </c>
      <c r="I43" s="63">
        <f t="shared" si="1"/>
        <v>1875</v>
      </c>
    </row>
    <row r="44" spans="1:9" ht="20.100000000000001" customHeight="1" x14ac:dyDescent="0.3">
      <c r="A44" s="278"/>
      <c r="B44" s="275">
        <v>7</v>
      </c>
      <c r="C44" s="73">
        <v>39973</v>
      </c>
      <c r="D44" s="15" t="s">
        <v>69</v>
      </c>
      <c r="E44" s="39">
        <v>3000</v>
      </c>
      <c r="F44" s="61">
        <v>0</v>
      </c>
      <c r="G44" s="61">
        <v>0</v>
      </c>
      <c r="H44" s="62">
        <v>0</v>
      </c>
      <c r="I44" s="63">
        <f t="shared" si="1"/>
        <v>4875</v>
      </c>
    </row>
    <row r="45" spans="1:9" ht="20.100000000000001" customHeight="1" x14ac:dyDescent="0.3">
      <c r="A45" s="278"/>
      <c r="B45" s="275">
        <v>8</v>
      </c>
      <c r="C45" s="73">
        <v>39976</v>
      </c>
      <c r="D45" s="15" t="s">
        <v>70</v>
      </c>
      <c r="E45" s="61">
        <v>0</v>
      </c>
      <c r="F45" s="39">
        <v>7</v>
      </c>
      <c r="G45" s="39">
        <v>50</v>
      </c>
      <c r="H45" s="62">
        <v>0</v>
      </c>
      <c r="I45" s="63">
        <f t="shared" si="1"/>
        <v>4832</v>
      </c>
    </row>
    <row r="46" spans="1:9" ht="20.100000000000001" customHeight="1" x14ac:dyDescent="0.3">
      <c r="A46" s="278"/>
      <c r="B46" s="275">
        <v>9</v>
      </c>
      <c r="C46" s="73">
        <v>39977</v>
      </c>
      <c r="D46" s="15" t="s">
        <v>71</v>
      </c>
      <c r="E46" s="39">
        <v>2000</v>
      </c>
      <c r="F46" s="39">
        <v>25</v>
      </c>
      <c r="G46" s="61">
        <v>0</v>
      </c>
      <c r="H46" s="64">
        <v>1</v>
      </c>
      <c r="I46" s="63">
        <f t="shared" si="1"/>
        <v>6856</v>
      </c>
    </row>
    <row r="47" spans="1:9" ht="20.100000000000001" customHeight="1" thickBot="1" x14ac:dyDescent="0.35">
      <c r="A47" s="278"/>
      <c r="B47" s="280">
        <v>10</v>
      </c>
      <c r="C47" s="74">
        <v>39978</v>
      </c>
      <c r="D47" s="18" t="s">
        <v>72</v>
      </c>
      <c r="E47" s="65">
        <v>3450</v>
      </c>
      <c r="F47" s="66">
        <v>0</v>
      </c>
      <c r="G47" s="66">
        <v>0</v>
      </c>
      <c r="H47" s="67">
        <v>0</v>
      </c>
      <c r="I47" s="68">
        <f t="shared" si="1"/>
        <v>10306</v>
      </c>
    </row>
    <row r="48" spans="1:9" ht="20.100000000000001" customHeight="1" x14ac:dyDescent="0.3">
      <c r="A48" s="278"/>
      <c r="B48" s="348" t="s">
        <v>28</v>
      </c>
      <c r="C48" s="348"/>
      <c r="D48" s="349"/>
      <c r="E48" s="57">
        <f>E38+E39+E40+E41+E42+E43+E44+E45+E46+E47</f>
        <v>11840</v>
      </c>
      <c r="F48" s="57">
        <f>F38+F39+F40+F41+F42+F43+F44+F45+F46+F47</f>
        <v>43</v>
      </c>
      <c r="G48" s="57">
        <f>G38+G39+G40+G41+G42+G43+G44+G45+G46+G47</f>
        <v>1620</v>
      </c>
      <c r="H48" s="69">
        <f>H38+H39+H40+H41+H42+H43+H44+H45+H46+H47</f>
        <v>7</v>
      </c>
      <c r="I48" s="31"/>
    </row>
    <row r="49" spans="1:9" ht="20.100000000000001" customHeight="1" thickBot="1" x14ac:dyDescent="0.35">
      <c r="A49" s="278"/>
      <c r="B49" s="350" t="s">
        <v>29</v>
      </c>
      <c r="C49" s="350"/>
      <c r="D49" s="351"/>
      <c r="E49" s="65">
        <f>E48/10</f>
        <v>1184</v>
      </c>
      <c r="F49" s="65">
        <f>F48/10</f>
        <v>4.3</v>
      </c>
      <c r="G49" s="65">
        <f>G48/10</f>
        <v>162</v>
      </c>
      <c r="H49" s="70">
        <f>H48/10</f>
        <v>0.7</v>
      </c>
      <c r="I49" s="31"/>
    </row>
  </sheetData>
  <mergeCells count="22">
    <mergeCell ref="B9:H9"/>
    <mergeCell ref="B20:D20"/>
    <mergeCell ref="B21:D21"/>
    <mergeCell ref="B32:I32"/>
    <mergeCell ref="A28:C28"/>
    <mergeCell ref="D7:D8"/>
    <mergeCell ref="E7:H7"/>
    <mergeCell ref="A1:C1"/>
    <mergeCell ref="B4:I4"/>
    <mergeCell ref="B5:I5"/>
    <mergeCell ref="I7:I8"/>
    <mergeCell ref="B7:B8"/>
    <mergeCell ref="C7:C8"/>
    <mergeCell ref="B37:H37"/>
    <mergeCell ref="B48:D48"/>
    <mergeCell ref="B49:D49"/>
    <mergeCell ref="B33:I33"/>
    <mergeCell ref="B35:B36"/>
    <mergeCell ref="C35:C36"/>
    <mergeCell ref="D35:D36"/>
    <mergeCell ref="E35:H35"/>
    <mergeCell ref="I35:I36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4294967293" vertic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3" workbookViewId="0">
      <selection activeCell="I7" sqref="I7"/>
    </sheetView>
  </sheetViews>
  <sheetFormatPr defaultRowHeight="13.5" x14ac:dyDescent="0.3"/>
  <cols>
    <col min="1" max="1" width="3.625" style="30" customWidth="1"/>
    <col min="2" max="2" width="4.75" style="30" customWidth="1"/>
    <col min="3" max="3" width="8.125" style="30" customWidth="1"/>
    <col min="4" max="4" width="9" style="30"/>
    <col min="5" max="5" width="8.75" style="30" customWidth="1"/>
    <col min="6" max="6" width="8" style="30" customWidth="1"/>
    <col min="7" max="16384" width="9" style="30"/>
  </cols>
  <sheetData>
    <row r="1" spans="1:7" ht="15.75" thickBot="1" x14ac:dyDescent="0.35">
      <c r="A1" s="323" t="s">
        <v>340</v>
      </c>
      <c r="B1" s="324"/>
      <c r="C1" s="325"/>
    </row>
    <row r="4" spans="1:7" ht="20.100000000000001" customHeight="1" x14ac:dyDescent="0.3">
      <c r="A4" s="285"/>
      <c r="B4" s="365" t="s">
        <v>27</v>
      </c>
      <c r="C4" s="366"/>
      <c r="D4" s="366"/>
      <c r="E4" s="366"/>
      <c r="F4" s="366"/>
      <c r="G4" s="366"/>
    </row>
    <row r="5" spans="1:7" ht="20.100000000000001" customHeight="1" x14ac:dyDescent="0.3"/>
    <row r="6" spans="1:7" ht="30" x14ac:dyDescent="0.3">
      <c r="A6" s="285"/>
      <c r="B6" s="284" t="s">
        <v>2</v>
      </c>
      <c r="C6" s="273" t="s">
        <v>30</v>
      </c>
      <c r="D6" s="273" t="s">
        <v>31</v>
      </c>
      <c r="E6" s="273" t="s">
        <v>32</v>
      </c>
      <c r="F6" s="273" t="s">
        <v>33</v>
      </c>
      <c r="G6" s="273" t="s">
        <v>29</v>
      </c>
    </row>
    <row r="7" spans="1:7" ht="20.100000000000001" customHeight="1" x14ac:dyDescent="0.3">
      <c r="A7" s="285"/>
      <c r="B7" s="275">
        <v>1</v>
      </c>
      <c r="C7" s="254">
        <v>65</v>
      </c>
      <c r="D7" s="254">
        <v>75</v>
      </c>
      <c r="E7" s="254">
        <v>65</v>
      </c>
      <c r="F7" s="255">
        <f>C7+D7+E7</f>
        <v>205</v>
      </c>
      <c r="G7" s="258">
        <f>AVERAGE(C7,D7,E7)</f>
        <v>68.333333333333329</v>
      </c>
    </row>
    <row r="8" spans="1:7" ht="20.100000000000001" customHeight="1" x14ac:dyDescent="0.3">
      <c r="A8" s="285"/>
      <c r="B8" s="275">
        <v>2</v>
      </c>
      <c r="C8" s="254">
        <v>55</v>
      </c>
      <c r="D8" s="254">
        <v>80</v>
      </c>
      <c r="E8" s="254">
        <v>60</v>
      </c>
      <c r="F8" s="255">
        <f t="shared" ref="F8:F13" si="0">C8+D8+E8</f>
        <v>195</v>
      </c>
      <c r="G8" s="258">
        <f t="shared" ref="G8:G13" si="1">AVERAGE(C8,D8,E8)</f>
        <v>65</v>
      </c>
    </row>
    <row r="9" spans="1:7" ht="20.100000000000001" customHeight="1" x14ac:dyDescent="0.3">
      <c r="A9" s="285"/>
      <c r="B9" s="275">
        <v>3</v>
      </c>
      <c r="C9" s="254">
        <v>70</v>
      </c>
      <c r="D9" s="254">
        <v>65</v>
      </c>
      <c r="E9" s="254">
        <v>60</v>
      </c>
      <c r="F9" s="255">
        <f t="shared" si="0"/>
        <v>195</v>
      </c>
      <c r="G9" s="258">
        <f t="shared" si="1"/>
        <v>65</v>
      </c>
    </row>
    <row r="10" spans="1:7" ht="20.100000000000001" customHeight="1" x14ac:dyDescent="0.3">
      <c r="A10" s="285"/>
      <c r="B10" s="275">
        <v>4</v>
      </c>
      <c r="C10" s="254">
        <v>75</v>
      </c>
      <c r="D10" s="254">
        <v>55</v>
      </c>
      <c r="E10" s="254">
        <v>70</v>
      </c>
      <c r="F10" s="255">
        <f t="shared" si="0"/>
        <v>200</v>
      </c>
      <c r="G10" s="258">
        <f t="shared" si="1"/>
        <v>66.666666666666671</v>
      </c>
    </row>
    <row r="11" spans="1:7" ht="20.100000000000001" customHeight="1" x14ac:dyDescent="0.3">
      <c r="A11" s="285"/>
      <c r="B11" s="275">
        <v>5</v>
      </c>
      <c r="C11" s="254">
        <v>60</v>
      </c>
      <c r="D11" s="254">
        <v>70</v>
      </c>
      <c r="E11" s="254">
        <v>70</v>
      </c>
      <c r="F11" s="255">
        <f t="shared" si="0"/>
        <v>200</v>
      </c>
      <c r="G11" s="258">
        <f t="shared" si="1"/>
        <v>66.666666666666671</v>
      </c>
    </row>
    <row r="12" spans="1:7" ht="20.100000000000001" customHeight="1" x14ac:dyDescent="0.3">
      <c r="A12" s="285"/>
      <c r="B12" s="275">
        <v>6</v>
      </c>
      <c r="C12" s="254">
        <v>55</v>
      </c>
      <c r="D12" s="254">
        <v>75</v>
      </c>
      <c r="E12" s="254">
        <v>80</v>
      </c>
      <c r="F12" s="255">
        <f t="shared" si="0"/>
        <v>210</v>
      </c>
      <c r="G12" s="258">
        <f t="shared" si="1"/>
        <v>70</v>
      </c>
    </row>
    <row r="13" spans="1:7" ht="20.100000000000001" customHeight="1" x14ac:dyDescent="0.3">
      <c r="A13" s="285"/>
      <c r="B13" s="275">
        <v>7</v>
      </c>
      <c r="C13" s="254">
        <v>65</v>
      </c>
      <c r="D13" s="254">
        <v>70</v>
      </c>
      <c r="E13" s="254">
        <v>60</v>
      </c>
      <c r="F13" s="255">
        <f t="shared" si="0"/>
        <v>195</v>
      </c>
      <c r="G13" s="258">
        <f t="shared" si="1"/>
        <v>65</v>
      </c>
    </row>
    <row r="14" spans="1:7" x14ac:dyDescent="0.3">
      <c r="C14" s="76"/>
      <c r="D14" s="76"/>
      <c r="E14" s="76"/>
      <c r="F14" s="77"/>
      <c r="G14" s="78"/>
    </row>
    <row r="15" spans="1:7" ht="14.25" x14ac:dyDescent="0.3">
      <c r="B15" s="105" t="s">
        <v>55</v>
      </c>
      <c r="C15" s="129"/>
      <c r="D15" s="76"/>
      <c r="E15" s="76"/>
      <c r="F15" s="77"/>
      <c r="G15" s="78"/>
    </row>
    <row r="16" spans="1:7" x14ac:dyDescent="0.3">
      <c r="B16" s="101"/>
      <c r="C16" s="106" t="s">
        <v>75</v>
      </c>
      <c r="D16" s="76"/>
      <c r="E16" s="76"/>
      <c r="F16" s="77"/>
      <c r="G16" s="78"/>
    </row>
    <row r="17" spans="1:7" x14ac:dyDescent="0.3">
      <c r="B17" s="101"/>
      <c r="C17" s="101" t="s">
        <v>76</v>
      </c>
    </row>
    <row r="18" spans="1:7" x14ac:dyDescent="0.3">
      <c r="B18" s="101"/>
      <c r="C18" s="101"/>
    </row>
    <row r="19" spans="1:7" x14ac:dyDescent="0.3">
      <c r="B19" s="101"/>
      <c r="C19" s="101"/>
    </row>
    <row r="20" spans="1:7" ht="14.25" thickBot="1" x14ac:dyDescent="0.35">
      <c r="B20" s="101"/>
      <c r="C20" s="101"/>
    </row>
    <row r="21" spans="1:7" ht="15.75" thickBot="1" x14ac:dyDescent="0.35">
      <c r="A21" s="323" t="s">
        <v>336</v>
      </c>
      <c r="B21" s="324"/>
      <c r="C21" s="325"/>
    </row>
    <row r="23" spans="1:7" ht="14.25" thickBot="1" x14ac:dyDescent="0.35"/>
    <row r="24" spans="1:7" ht="14.25" thickBot="1" x14ac:dyDescent="0.35">
      <c r="A24" s="223"/>
      <c r="B24" s="221" t="s">
        <v>331</v>
      </c>
      <c r="C24" s="221" t="s">
        <v>332</v>
      </c>
      <c r="D24" s="221" t="s">
        <v>333</v>
      </c>
      <c r="E24" s="221" t="s">
        <v>85</v>
      </c>
      <c r="F24" s="221" t="s">
        <v>334</v>
      </c>
      <c r="G24" s="221" t="s">
        <v>335</v>
      </c>
    </row>
    <row r="25" spans="1:7" ht="19.5" thickBot="1" x14ac:dyDescent="0.35">
      <c r="A25" s="223">
        <v>1</v>
      </c>
      <c r="B25" s="367" t="s">
        <v>27</v>
      </c>
      <c r="C25" s="368"/>
      <c r="D25" s="368"/>
      <c r="E25" s="368"/>
      <c r="F25" s="368"/>
      <c r="G25" s="369"/>
    </row>
    <row r="26" spans="1:7" ht="14.25" thickBot="1" x14ac:dyDescent="0.35">
      <c r="A26" s="223">
        <v>2</v>
      </c>
    </row>
    <row r="27" spans="1:7" ht="30.75" thickBot="1" x14ac:dyDescent="0.35">
      <c r="A27" s="223">
        <v>3</v>
      </c>
      <c r="B27" s="7" t="s">
        <v>2</v>
      </c>
      <c r="C27" s="7" t="s">
        <v>30</v>
      </c>
      <c r="D27" s="7" t="s">
        <v>31</v>
      </c>
      <c r="E27" s="7" t="s">
        <v>32</v>
      </c>
      <c r="F27" s="7" t="s">
        <v>33</v>
      </c>
      <c r="G27" s="7" t="s">
        <v>29</v>
      </c>
    </row>
    <row r="28" spans="1:7" ht="20.100000000000001" customHeight="1" thickBot="1" x14ac:dyDescent="0.35">
      <c r="A28" s="223">
        <v>4</v>
      </c>
      <c r="B28" s="39">
        <v>1</v>
      </c>
      <c r="C28" s="15">
        <v>65</v>
      </c>
      <c r="D28" s="15">
        <v>75</v>
      </c>
      <c r="E28" s="15">
        <v>65</v>
      </c>
      <c r="F28" s="15">
        <f t="shared" ref="F28:F34" si="2">E28+D28+C28</f>
        <v>205</v>
      </c>
      <c r="G28" s="79">
        <f t="shared" ref="G28:G34" si="3">F28/3</f>
        <v>68.333333333333329</v>
      </c>
    </row>
    <row r="29" spans="1:7" ht="20.100000000000001" customHeight="1" thickBot="1" x14ac:dyDescent="0.35">
      <c r="A29" s="223">
        <v>5</v>
      </c>
      <c r="B29" s="39">
        <v>2</v>
      </c>
      <c r="C29" s="15">
        <v>55</v>
      </c>
      <c r="D29" s="15">
        <v>80</v>
      </c>
      <c r="E29" s="15">
        <v>60</v>
      </c>
      <c r="F29" s="15">
        <f t="shared" si="2"/>
        <v>195</v>
      </c>
      <c r="G29" s="79">
        <f t="shared" si="3"/>
        <v>65</v>
      </c>
    </row>
    <row r="30" spans="1:7" ht="20.100000000000001" customHeight="1" thickBot="1" x14ac:dyDescent="0.35">
      <c r="A30" s="223">
        <v>6</v>
      </c>
      <c r="B30" s="39">
        <v>3</v>
      </c>
      <c r="C30" s="15">
        <v>70</v>
      </c>
      <c r="D30" s="15">
        <v>65</v>
      </c>
      <c r="E30" s="15">
        <v>60</v>
      </c>
      <c r="F30" s="15">
        <f t="shared" si="2"/>
        <v>195</v>
      </c>
      <c r="G30" s="79">
        <f t="shared" si="3"/>
        <v>65</v>
      </c>
    </row>
    <row r="31" spans="1:7" ht="20.100000000000001" customHeight="1" thickBot="1" x14ac:dyDescent="0.35">
      <c r="A31" s="223">
        <v>7</v>
      </c>
      <c r="B31" s="39">
        <v>4</v>
      </c>
      <c r="C31" s="15">
        <v>75</v>
      </c>
      <c r="D31" s="15">
        <v>55</v>
      </c>
      <c r="E31" s="15">
        <v>70</v>
      </c>
      <c r="F31" s="15">
        <f t="shared" si="2"/>
        <v>200</v>
      </c>
      <c r="G31" s="79">
        <f t="shared" si="3"/>
        <v>66.666666666666671</v>
      </c>
    </row>
    <row r="32" spans="1:7" ht="20.100000000000001" customHeight="1" thickBot="1" x14ac:dyDescent="0.35">
      <c r="A32" s="223">
        <v>8</v>
      </c>
      <c r="B32" s="39">
        <v>5</v>
      </c>
      <c r="C32" s="15">
        <v>60</v>
      </c>
      <c r="D32" s="15">
        <v>70</v>
      </c>
      <c r="E32" s="15">
        <v>70</v>
      </c>
      <c r="F32" s="15">
        <f t="shared" si="2"/>
        <v>200</v>
      </c>
      <c r="G32" s="79">
        <f t="shared" si="3"/>
        <v>66.666666666666671</v>
      </c>
    </row>
    <row r="33" spans="1:7" ht="20.100000000000001" customHeight="1" thickBot="1" x14ac:dyDescent="0.35">
      <c r="A33" s="223">
        <v>9</v>
      </c>
      <c r="B33" s="39">
        <v>6</v>
      </c>
      <c r="C33" s="15">
        <v>55</v>
      </c>
      <c r="D33" s="15">
        <v>75</v>
      </c>
      <c r="E33" s="15">
        <v>80</v>
      </c>
      <c r="F33" s="15">
        <f t="shared" si="2"/>
        <v>210</v>
      </c>
      <c r="G33" s="79">
        <f t="shared" si="3"/>
        <v>70</v>
      </c>
    </row>
    <row r="34" spans="1:7" ht="20.100000000000001" customHeight="1" thickBot="1" x14ac:dyDescent="0.35">
      <c r="A34" s="223">
        <v>10</v>
      </c>
      <c r="B34" s="39">
        <v>7</v>
      </c>
      <c r="C34" s="15">
        <v>65</v>
      </c>
      <c r="D34" s="15">
        <v>70</v>
      </c>
      <c r="E34" s="15">
        <v>60</v>
      </c>
      <c r="F34" s="15">
        <f t="shared" si="2"/>
        <v>195</v>
      </c>
      <c r="G34" s="79">
        <f t="shared" si="3"/>
        <v>65</v>
      </c>
    </row>
  </sheetData>
  <mergeCells count="4">
    <mergeCell ref="B4:G4"/>
    <mergeCell ref="B25:G25"/>
    <mergeCell ref="A1:C1"/>
    <mergeCell ref="A21:C21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>
      <selection activeCell="C26" sqref="C26"/>
    </sheetView>
  </sheetViews>
  <sheetFormatPr defaultRowHeight="13.5" x14ac:dyDescent="0.3"/>
  <cols>
    <col min="1" max="1" width="3.625" style="30" customWidth="1"/>
    <col min="2" max="2" width="3.375" style="30" customWidth="1"/>
    <col min="3" max="3" width="10" style="30" bestFit="1" customWidth="1"/>
    <col min="4" max="4" width="13.125" style="30" customWidth="1"/>
    <col min="5" max="5" width="5.625" style="30" customWidth="1"/>
    <col min="6" max="6" width="10" style="30" bestFit="1" customWidth="1"/>
    <col min="7" max="7" width="6.625" style="30" customWidth="1"/>
    <col min="8" max="8" width="14.625" style="30" customWidth="1"/>
    <col min="9" max="9" width="11.5" style="30" customWidth="1"/>
    <col min="10" max="10" width="20.625" style="30" customWidth="1"/>
    <col min="11" max="11" width="9.75" style="30" bestFit="1" customWidth="1"/>
    <col min="12" max="12" width="7.125" style="30" customWidth="1"/>
    <col min="13" max="16384" width="9" style="30"/>
  </cols>
  <sheetData>
    <row r="1" spans="1:13" ht="15.75" thickBot="1" x14ac:dyDescent="0.35">
      <c r="A1" s="323" t="s">
        <v>342</v>
      </c>
      <c r="B1" s="324"/>
      <c r="C1" s="325"/>
    </row>
    <row r="2" spans="1:13" x14ac:dyDescent="0.3">
      <c r="A2" s="247"/>
    </row>
    <row r="3" spans="1:13" ht="12.95" customHeight="1" x14ac:dyDescent="0.3">
      <c r="B3" s="102" t="s">
        <v>108</v>
      </c>
      <c r="C3" s="102"/>
      <c r="D3" s="98"/>
      <c r="E3" s="98"/>
      <c r="F3" s="98"/>
      <c r="G3" s="98"/>
      <c r="H3" s="98"/>
      <c r="I3" s="98"/>
      <c r="J3" s="98"/>
      <c r="K3" s="98"/>
      <c r="L3" s="98"/>
      <c r="M3" s="101"/>
    </row>
    <row r="4" spans="1:13" ht="12.95" customHeight="1" x14ac:dyDescent="0.3">
      <c r="B4" s="100" t="s">
        <v>370</v>
      </c>
      <c r="C4" s="100"/>
      <c r="D4" s="97"/>
      <c r="E4" s="97"/>
      <c r="F4" s="97"/>
      <c r="G4" s="97"/>
      <c r="H4" s="97"/>
      <c r="I4" s="97"/>
      <c r="J4" s="97"/>
      <c r="K4" s="97"/>
      <c r="L4" s="97"/>
      <c r="M4" s="101"/>
    </row>
    <row r="5" spans="1:13" ht="9.9499999999999993" customHeight="1" x14ac:dyDescent="0.3">
      <c r="B5" s="105"/>
      <c r="C5" s="100"/>
      <c r="D5" s="97"/>
      <c r="E5" s="97"/>
      <c r="F5" s="97"/>
      <c r="G5" s="97"/>
      <c r="H5" s="97"/>
      <c r="I5" s="97"/>
      <c r="J5" s="97"/>
      <c r="K5" s="97"/>
      <c r="L5" s="97"/>
      <c r="M5" s="101"/>
    </row>
    <row r="6" spans="1:13" ht="15" thickBot="1" x14ac:dyDescent="0.35">
      <c r="B6" s="100" t="s">
        <v>378</v>
      </c>
      <c r="C6" s="100"/>
      <c r="D6" s="97"/>
      <c r="E6" s="97"/>
      <c r="F6" s="97"/>
      <c r="G6" s="97"/>
      <c r="H6" s="97"/>
      <c r="I6" s="97"/>
      <c r="J6" s="97"/>
      <c r="K6" s="97"/>
      <c r="L6" s="97"/>
      <c r="M6" s="101"/>
    </row>
    <row r="7" spans="1:13" ht="29.25" thickBot="1" x14ac:dyDescent="0.35">
      <c r="A7" s="285"/>
      <c r="B7" s="290" t="s">
        <v>110</v>
      </c>
      <c r="C7" s="82" t="s">
        <v>111</v>
      </c>
      <c r="D7" s="82" t="s">
        <v>112</v>
      </c>
      <c r="E7" s="82" t="s">
        <v>113</v>
      </c>
      <c r="F7" s="82" t="s">
        <v>114</v>
      </c>
      <c r="G7" s="82" t="s">
        <v>115</v>
      </c>
      <c r="H7" s="82" t="s">
        <v>116</v>
      </c>
      <c r="I7" s="82" t="s">
        <v>117</v>
      </c>
      <c r="J7" s="82" t="s">
        <v>118</v>
      </c>
      <c r="K7" s="286" t="s">
        <v>230</v>
      </c>
      <c r="L7" s="83" t="s">
        <v>119</v>
      </c>
      <c r="M7" s="101"/>
    </row>
    <row r="8" spans="1:13" ht="12.95" customHeight="1" x14ac:dyDescent="0.3">
      <c r="A8" s="285"/>
      <c r="B8" s="291">
        <v>1</v>
      </c>
      <c r="C8" s="163">
        <v>45809</v>
      </c>
      <c r="D8" s="145" t="s">
        <v>120</v>
      </c>
      <c r="E8" s="145">
        <v>2</v>
      </c>
      <c r="F8" s="164">
        <f>C8+E8</f>
        <v>45811</v>
      </c>
      <c r="G8" s="145" t="s">
        <v>121</v>
      </c>
      <c r="H8" s="259">
        <f>IF(G8="STD",200000,350000)</f>
        <v>200000</v>
      </c>
      <c r="I8" s="259">
        <f>IF(E8&lt;2,10%*H8,0)</f>
        <v>0</v>
      </c>
      <c r="J8" s="259" t="str">
        <f>IF(G8="STD","Makan Pagi","Makan Pagi &amp; Malam")</f>
        <v>Makan Pagi</v>
      </c>
      <c r="K8" s="289">
        <f>IFERROR((E8*H8)+I8,"-")</f>
        <v>400000</v>
      </c>
      <c r="L8" s="260">
        <f>IF(E8&gt;3,20%,0)</f>
        <v>0</v>
      </c>
      <c r="M8" s="101"/>
    </row>
    <row r="9" spans="1:13" ht="12.95" customHeight="1" x14ac:dyDescent="0.3">
      <c r="A9" s="285"/>
      <c r="B9" s="292">
        <v>2</v>
      </c>
      <c r="C9" s="161">
        <v>45810</v>
      </c>
      <c r="D9" s="132" t="s">
        <v>122</v>
      </c>
      <c r="E9" s="132">
        <v>1</v>
      </c>
      <c r="F9" s="164">
        <f t="shared" ref="F9:F17" si="0">C9+E9</f>
        <v>45811</v>
      </c>
      <c r="G9" s="132" t="s">
        <v>123</v>
      </c>
      <c r="H9" s="259">
        <f t="shared" ref="H9:H17" si="1">IF(G9="STD",200000,350000)</f>
        <v>350000</v>
      </c>
      <c r="I9" s="259">
        <f t="shared" ref="I9:I17" si="2">IF(E9&lt;2,10%*H9,0)</f>
        <v>35000</v>
      </c>
      <c r="J9" s="259" t="str">
        <f t="shared" ref="J9:J17" si="3">IF(G9="STD","Makan Pagi","Makan Pagi &amp; Malam")</f>
        <v>Makan Pagi &amp; Malam</v>
      </c>
      <c r="K9" s="289">
        <f t="shared" ref="K9:K17" si="4">IFERROR((E9*H9)+I9,"-")</f>
        <v>385000</v>
      </c>
      <c r="L9" s="260">
        <f t="shared" ref="L9:L17" si="5">IF(E9&gt;3,20%,0)</f>
        <v>0</v>
      </c>
      <c r="M9" s="101"/>
    </row>
    <row r="10" spans="1:13" ht="12.95" customHeight="1" x14ac:dyDescent="0.3">
      <c r="A10" s="285"/>
      <c r="B10" s="292">
        <v>3</v>
      </c>
      <c r="C10" s="161">
        <v>45818</v>
      </c>
      <c r="D10" s="132" t="s">
        <v>124</v>
      </c>
      <c r="E10" s="132">
        <v>4</v>
      </c>
      <c r="F10" s="164">
        <f t="shared" si="0"/>
        <v>45822</v>
      </c>
      <c r="G10" s="132" t="s">
        <v>121</v>
      </c>
      <c r="H10" s="259">
        <f t="shared" si="1"/>
        <v>200000</v>
      </c>
      <c r="I10" s="259">
        <f t="shared" si="2"/>
        <v>0</v>
      </c>
      <c r="J10" s="259" t="str">
        <f t="shared" si="3"/>
        <v>Makan Pagi</v>
      </c>
      <c r="K10" s="289">
        <f t="shared" si="4"/>
        <v>800000</v>
      </c>
      <c r="L10" s="260">
        <f t="shared" si="5"/>
        <v>0.2</v>
      </c>
      <c r="M10" s="101"/>
    </row>
    <row r="11" spans="1:13" ht="12.95" customHeight="1" x14ac:dyDescent="0.3">
      <c r="A11" s="285"/>
      <c r="B11" s="292">
        <v>4</v>
      </c>
      <c r="C11" s="161">
        <v>45819</v>
      </c>
      <c r="D11" s="132" t="s">
        <v>125</v>
      </c>
      <c r="E11" s="132">
        <v>3</v>
      </c>
      <c r="F11" s="164">
        <f t="shared" si="0"/>
        <v>45822</v>
      </c>
      <c r="G11" s="132" t="s">
        <v>121</v>
      </c>
      <c r="H11" s="259">
        <f t="shared" si="1"/>
        <v>200000</v>
      </c>
      <c r="I11" s="259">
        <f t="shared" si="2"/>
        <v>0</v>
      </c>
      <c r="J11" s="259" t="str">
        <f t="shared" si="3"/>
        <v>Makan Pagi</v>
      </c>
      <c r="K11" s="289">
        <f t="shared" si="4"/>
        <v>600000</v>
      </c>
      <c r="L11" s="260">
        <f t="shared" si="5"/>
        <v>0</v>
      </c>
      <c r="M11" s="101"/>
    </row>
    <row r="12" spans="1:13" ht="12.95" customHeight="1" x14ac:dyDescent="0.3">
      <c r="A12" s="285"/>
      <c r="B12" s="292">
        <v>5</v>
      </c>
      <c r="C12" s="161">
        <v>45820</v>
      </c>
      <c r="D12" s="132" t="s">
        <v>126</v>
      </c>
      <c r="E12" s="132">
        <v>1</v>
      </c>
      <c r="F12" s="164">
        <f t="shared" si="0"/>
        <v>45821</v>
      </c>
      <c r="G12" s="132" t="s">
        <v>121</v>
      </c>
      <c r="H12" s="259">
        <f t="shared" si="1"/>
        <v>200000</v>
      </c>
      <c r="I12" s="259">
        <f t="shared" si="2"/>
        <v>20000</v>
      </c>
      <c r="J12" s="259" t="str">
        <f t="shared" si="3"/>
        <v>Makan Pagi</v>
      </c>
      <c r="K12" s="289">
        <f t="shared" si="4"/>
        <v>220000</v>
      </c>
      <c r="L12" s="260">
        <f t="shared" si="5"/>
        <v>0</v>
      </c>
      <c r="M12" s="101"/>
    </row>
    <row r="13" spans="1:13" ht="12.95" customHeight="1" x14ac:dyDescent="0.3">
      <c r="A13" s="285"/>
      <c r="B13" s="292">
        <v>6</v>
      </c>
      <c r="C13" s="161">
        <v>45828</v>
      </c>
      <c r="D13" s="132" t="s">
        <v>127</v>
      </c>
      <c r="E13" s="132">
        <v>6</v>
      </c>
      <c r="F13" s="164">
        <f t="shared" si="0"/>
        <v>45834</v>
      </c>
      <c r="G13" s="132" t="s">
        <v>123</v>
      </c>
      <c r="H13" s="259">
        <f t="shared" si="1"/>
        <v>350000</v>
      </c>
      <c r="I13" s="259">
        <f t="shared" si="2"/>
        <v>0</v>
      </c>
      <c r="J13" s="259" t="str">
        <f t="shared" si="3"/>
        <v>Makan Pagi &amp; Malam</v>
      </c>
      <c r="K13" s="289">
        <f t="shared" si="4"/>
        <v>2100000</v>
      </c>
      <c r="L13" s="260">
        <f t="shared" si="5"/>
        <v>0.2</v>
      </c>
      <c r="M13" s="101"/>
    </row>
    <row r="14" spans="1:13" ht="12.95" customHeight="1" x14ac:dyDescent="0.3">
      <c r="A14" s="285"/>
      <c r="B14" s="292">
        <v>7</v>
      </c>
      <c r="C14" s="161">
        <v>45829</v>
      </c>
      <c r="D14" s="132" t="s">
        <v>128</v>
      </c>
      <c r="E14" s="132">
        <v>5</v>
      </c>
      <c r="F14" s="164">
        <f t="shared" si="0"/>
        <v>45834</v>
      </c>
      <c r="G14" s="132" t="s">
        <v>123</v>
      </c>
      <c r="H14" s="259">
        <f t="shared" si="1"/>
        <v>350000</v>
      </c>
      <c r="I14" s="259">
        <f t="shared" si="2"/>
        <v>0</v>
      </c>
      <c r="J14" s="259" t="str">
        <f t="shared" si="3"/>
        <v>Makan Pagi &amp; Malam</v>
      </c>
      <c r="K14" s="289">
        <f t="shared" si="4"/>
        <v>1750000</v>
      </c>
      <c r="L14" s="260">
        <f t="shared" si="5"/>
        <v>0.2</v>
      </c>
      <c r="M14" s="101"/>
    </row>
    <row r="15" spans="1:13" ht="12.95" customHeight="1" x14ac:dyDescent="0.3">
      <c r="A15" s="285"/>
      <c r="B15" s="292">
        <v>8</v>
      </c>
      <c r="C15" s="161">
        <v>45830</v>
      </c>
      <c r="D15" s="132" t="s">
        <v>129</v>
      </c>
      <c r="E15" s="132">
        <v>1</v>
      </c>
      <c r="F15" s="164">
        <f t="shared" si="0"/>
        <v>45831</v>
      </c>
      <c r="G15" s="132" t="s">
        <v>123</v>
      </c>
      <c r="H15" s="259">
        <f t="shared" si="1"/>
        <v>350000</v>
      </c>
      <c r="I15" s="259">
        <f t="shared" si="2"/>
        <v>35000</v>
      </c>
      <c r="J15" s="259" t="str">
        <f t="shared" si="3"/>
        <v>Makan Pagi &amp; Malam</v>
      </c>
      <c r="K15" s="289">
        <f t="shared" si="4"/>
        <v>385000</v>
      </c>
      <c r="L15" s="260">
        <f t="shared" si="5"/>
        <v>0</v>
      </c>
      <c r="M15" s="101"/>
    </row>
    <row r="16" spans="1:13" ht="12.95" customHeight="1" x14ac:dyDescent="0.3">
      <c r="A16" s="285"/>
      <c r="B16" s="292">
        <v>9</v>
      </c>
      <c r="C16" s="161">
        <v>45830</v>
      </c>
      <c r="D16" s="132" t="s">
        <v>130</v>
      </c>
      <c r="E16" s="132">
        <v>2</v>
      </c>
      <c r="F16" s="164">
        <f t="shared" si="0"/>
        <v>45832</v>
      </c>
      <c r="G16" s="132" t="s">
        <v>123</v>
      </c>
      <c r="H16" s="259">
        <f t="shared" si="1"/>
        <v>350000</v>
      </c>
      <c r="I16" s="259">
        <f t="shared" si="2"/>
        <v>0</v>
      </c>
      <c r="J16" s="259" t="str">
        <f t="shared" si="3"/>
        <v>Makan Pagi &amp; Malam</v>
      </c>
      <c r="K16" s="289">
        <f t="shared" si="4"/>
        <v>700000</v>
      </c>
      <c r="L16" s="260">
        <f t="shared" si="5"/>
        <v>0</v>
      </c>
      <c r="M16" s="101"/>
    </row>
    <row r="17" spans="1:13" ht="12.95" customHeight="1" thickBot="1" x14ac:dyDescent="0.35">
      <c r="A17" s="285"/>
      <c r="B17" s="293">
        <v>10</v>
      </c>
      <c r="C17" s="162">
        <v>45831</v>
      </c>
      <c r="D17" s="138" t="s">
        <v>131</v>
      </c>
      <c r="E17" s="138">
        <v>4</v>
      </c>
      <c r="F17" s="164">
        <f t="shared" si="0"/>
        <v>45835</v>
      </c>
      <c r="G17" s="138" t="s">
        <v>121</v>
      </c>
      <c r="H17" s="259">
        <f t="shared" si="1"/>
        <v>200000</v>
      </c>
      <c r="I17" s="259">
        <f t="shared" si="2"/>
        <v>0</v>
      </c>
      <c r="J17" s="259" t="str">
        <f t="shared" si="3"/>
        <v>Makan Pagi</v>
      </c>
      <c r="K17" s="289">
        <f t="shared" si="4"/>
        <v>800000</v>
      </c>
      <c r="L17" s="260">
        <f t="shared" si="5"/>
        <v>0.2</v>
      </c>
      <c r="M17" s="101"/>
    </row>
    <row r="18" spans="1:13" ht="9.9499999999999993" customHeight="1" x14ac:dyDescent="0.3">
      <c r="B18" s="97"/>
      <c r="C18" s="98"/>
      <c r="D18" s="97"/>
      <c r="E18" s="97"/>
      <c r="F18" s="99"/>
      <c r="G18" s="97"/>
      <c r="H18" s="99"/>
      <c r="I18" s="99"/>
      <c r="J18" s="99"/>
      <c r="K18" s="99"/>
      <c r="L18" s="99"/>
      <c r="M18" s="101"/>
    </row>
    <row r="19" spans="1:13" ht="12" customHeight="1" x14ac:dyDescent="0.3">
      <c r="B19" s="100" t="s">
        <v>55</v>
      </c>
      <c r="C19" s="98"/>
      <c r="D19" s="97"/>
      <c r="E19" s="97"/>
      <c r="F19" s="99"/>
      <c r="G19" s="97"/>
      <c r="H19" s="99"/>
      <c r="I19" s="99"/>
      <c r="J19" s="99"/>
      <c r="K19" s="99"/>
      <c r="L19" s="99"/>
      <c r="M19" s="101"/>
    </row>
    <row r="20" spans="1:13" ht="12" customHeight="1" x14ac:dyDescent="0.3">
      <c r="B20" s="97"/>
      <c r="C20" s="102" t="s">
        <v>137</v>
      </c>
      <c r="D20" s="97"/>
      <c r="E20" s="97"/>
      <c r="F20" s="99"/>
      <c r="G20" s="97"/>
      <c r="H20" s="103" t="s">
        <v>134</v>
      </c>
      <c r="I20" s="99"/>
      <c r="J20" s="99"/>
      <c r="K20" s="99"/>
      <c r="L20" s="99"/>
      <c r="M20" s="101"/>
    </row>
    <row r="21" spans="1:13" ht="12" customHeight="1" x14ac:dyDescent="0.3">
      <c r="B21" s="97"/>
      <c r="C21" s="102" t="s">
        <v>132</v>
      </c>
      <c r="D21" s="97"/>
      <c r="E21" s="97"/>
      <c r="F21" s="99"/>
      <c r="G21" s="97"/>
      <c r="H21" s="104" t="s">
        <v>135</v>
      </c>
      <c r="I21" s="99"/>
      <c r="J21" s="99"/>
      <c r="K21" s="99"/>
      <c r="L21" s="99"/>
      <c r="M21" s="101"/>
    </row>
    <row r="22" spans="1:13" ht="12" customHeight="1" x14ac:dyDescent="0.3">
      <c r="B22" s="97"/>
      <c r="C22" s="98" t="s">
        <v>376</v>
      </c>
      <c r="D22" s="97"/>
      <c r="E22" s="97"/>
      <c r="F22" s="99"/>
      <c r="G22" s="97"/>
      <c r="H22" s="104" t="s">
        <v>136</v>
      </c>
      <c r="I22" s="99"/>
      <c r="J22" s="99"/>
      <c r="K22" s="99"/>
      <c r="L22" s="99"/>
      <c r="M22" s="101"/>
    </row>
    <row r="23" spans="1:13" ht="12" customHeight="1" x14ac:dyDescent="0.3">
      <c r="B23" s="97"/>
      <c r="C23" s="98" t="s">
        <v>377</v>
      </c>
      <c r="D23" s="97"/>
      <c r="E23" s="97"/>
      <c r="F23" s="99"/>
      <c r="G23" s="97"/>
      <c r="H23" s="103" t="s">
        <v>138</v>
      </c>
      <c r="I23" s="99"/>
      <c r="J23" s="99"/>
      <c r="K23" s="99"/>
      <c r="L23" s="99"/>
      <c r="M23" s="101"/>
    </row>
    <row r="24" spans="1:13" ht="12" customHeight="1" x14ac:dyDescent="0.3">
      <c r="B24" s="97"/>
      <c r="C24" s="102" t="s">
        <v>139</v>
      </c>
      <c r="D24" s="97"/>
      <c r="E24" s="97"/>
      <c r="F24" s="99"/>
      <c r="G24" s="97"/>
      <c r="H24" s="104"/>
      <c r="I24" s="99"/>
      <c r="J24" s="99"/>
      <c r="K24" s="99"/>
      <c r="L24" s="99"/>
      <c r="M24" s="101"/>
    </row>
    <row r="25" spans="1:13" ht="12" customHeight="1" x14ac:dyDescent="0.3">
      <c r="B25" s="101"/>
      <c r="C25" s="105" t="s">
        <v>400</v>
      </c>
      <c r="D25" s="101"/>
      <c r="E25" s="101"/>
      <c r="F25" s="101"/>
      <c r="G25" s="101"/>
      <c r="H25" s="106"/>
      <c r="I25" s="101"/>
      <c r="J25" s="101"/>
      <c r="K25" s="101"/>
      <c r="L25" s="101"/>
      <c r="M25" s="101"/>
    </row>
    <row r="26" spans="1:13" ht="12" customHeight="1" thickBot="1" x14ac:dyDescent="0.35">
      <c r="B26" s="101"/>
      <c r="C26" s="105"/>
      <c r="D26" s="101"/>
      <c r="E26" s="101"/>
      <c r="F26" s="101"/>
      <c r="G26" s="101"/>
      <c r="H26" s="106"/>
      <c r="I26" s="101"/>
      <c r="J26" s="101"/>
      <c r="K26" s="101"/>
      <c r="L26" s="101"/>
      <c r="M26" s="101"/>
    </row>
    <row r="27" spans="1:13" ht="12" customHeight="1" thickBot="1" x14ac:dyDescent="0.35">
      <c r="A27" s="323" t="s">
        <v>336</v>
      </c>
      <c r="B27" s="324"/>
      <c r="C27" s="325"/>
      <c r="D27" s="101"/>
      <c r="E27" s="101"/>
      <c r="F27" s="101"/>
      <c r="G27" s="101"/>
      <c r="H27" s="106"/>
      <c r="I27" s="101"/>
      <c r="J27" s="101"/>
      <c r="K27" s="101"/>
      <c r="L27" s="101"/>
      <c r="M27" s="101"/>
    </row>
    <row r="28" spans="1:13" ht="14.25" thickBot="1" x14ac:dyDescent="0.35"/>
    <row r="29" spans="1:13" ht="14.25" thickBot="1" x14ac:dyDescent="0.35">
      <c r="A29" s="223"/>
      <c r="B29" s="221" t="s">
        <v>331</v>
      </c>
      <c r="C29" s="221" t="s">
        <v>332</v>
      </c>
      <c r="D29" s="221" t="s">
        <v>333</v>
      </c>
      <c r="E29" s="221" t="s">
        <v>85</v>
      </c>
      <c r="F29" s="221" t="s">
        <v>334</v>
      </c>
      <c r="G29" s="221" t="s">
        <v>335</v>
      </c>
      <c r="H29" s="221" t="s">
        <v>338</v>
      </c>
      <c r="I29" s="221" t="s">
        <v>339</v>
      </c>
      <c r="J29" s="221" t="s">
        <v>288</v>
      </c>
      <c r="K29" s="221"/>
      <c r="L29" s="221" t="s">
        <v>343</v>
      </c>
    </row>
    <row r="30" spans="1:13" ht="17.25" thickBot="1" x14ac:dyDescent="0.35">
      <c r="A30" s="223">
        <v>1</v>
      </c>
      <c r="B30" s="370" t="s">
        <v>108</v>
      </c>
      <c r="C30" s="371"/>
      <c r="D30" s="371"/>
      <c r="E30" s="371"/>
      <c r="F30" s="371"/>
      <c r="G30" s="371"/>
      <c r="H30" s="371"/>
      <c r="I30" s="371"/>
      <c r="J30" s="371"/>
      <c r="K30" s="371"/>
      <c r="L30" s="372"/>
    </row>
    <row r="31" spans="1:13" ht="17.25" thickBot="1" x14ac:dyDescent="0.35">
      <c r="A31" s="223">
        <v>2</v>
      </c>
      <c r="B31" s="329" t="s">
        <v>109</v>
      </c>
      <c r="C31" s="330"/>
      <c r="D31" s="330"/>
      <c r="E31" s="330"/>
      <c r="F31" s="330"/>
      <c r="G31" s="330"/>
      <c r="H31" s="330"/>
      <c r="I31" s="330"/>
      <c r="J31" s="330"/>
      <c r="K31" s="330"/>
      <c r="L31" s="331"/>
    </row>
    <row r="32" spans="1:13" ht="9.9499999999999993" customHeight="1" thickBot="1" x14ac:dyDescent="0.35">
      <c r="A32" s="223">
        <v>3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</row>
    <row r="33" spans="1:12" ht="15" thickBot="1" x14ac:dyDescent="0.35">
      <c r="A33" s="223">
        <v>4</v>
      </c>
      <c r="B33" s="105" t="s">
        <v>357</v>
      </c>
      <c r="C33" s="105"/>
      <c r="D33" s="105"/>
      <c r="E33" s="101"/>
      <c r="F33" s="101"/>
      <c r="G33" s="101"/>
      <c r="H33" s="101"/>
      <c r="I33" s="101"/>
      <c r="J33" s="101"/>
      <c r="K33" s="101"/>
      <c r="L33" s="101"/>
    </row>
    <row r="34" spans="1:12" ht="29.25" thickBot="1" x14ac:dyDescent="0.35">
      <c r="A34" s="223">
        <v>5</v>
      </c>
      <c r="B34" s="81" t="s">
        <v>110</v>
      </c>
      <c r="C34" s="82" t="s">
        <v>111</v>
      </c>
      <c r="D34" s="82" t="s">
        <v>112</v>
      </c>
      <c r="E34" s="82" t="s">
        <v>113</v>
      </c>
      <c r="F34" s="82" t="s">
        <v>114</v>
      </c>
      <c r="G34" s="82" t="s">
        <v>115</v>
      </c>
      <c r="H34" s="82" t="s">
        <v>116</v>
      </c>
      <c r="I34" s="82" t="s">
        <v>117</v>
      </c>
      <c r="J34" s="82" t="s">
        <v>118</v>
      </c>
      <c r="K34" s="286"/>
      <c r="L34" s="83" t="s">
        <v>119</v>
      </c>
    </row>
    <row r="35" spans="1:12" ht="12.95" customHeight="1" thickBot="1" x14ac:dyDescent="0.35">
      <c r="A35" s="223">
        <v>6</v>
      </c>
      <c r="B35" s="84">
        <v>1</v>
      </c>
      <c r="C35" s="85">
        <v>37043</v>
      </c>
      <c r="D35" s="86" t="s">
        <v>120</v>
      </c>
      <c r="E35" s="87">
        <v>2</v>
      </c>
      <c r="F35" s="85">
        <f>C35+E35</f>
        <v>37045</v>
      </c>
      <c r="G35" s="87" t="s">
        <v>121</v>
      </c>
      <c r="H35" s="88">
        <f t="shared" ref="H35:H44" si="6">IF(G35="STD",45000,75000)</f>
        <v>45000</v>
      </c>
      <c r="I35" s="89">
        <f>IF(E35&lt;2,3%*H35,0)</f>
        <v>0</v>
      </c>
      <c r="J35" s="86" t="str">
        <f>IF(G35="STD","Makan Pagi","Makan Pagi &amp; Makan Malam")</f>
        <v>Makan Pagi</v>
      </c>
      <c r="K35" s="287"/>
      <c r="L35" s="90">
        <f t="shared" ref="L35:L44" si="7">IF(E35&gt;3,20%,0%)</f>
        <v>0</v>
      </c>
    </row>
    <row r="36" spans="1:12" ht="12.95" customHeight="1" thickBot="1" x14ac:dyDescent="0.35">
      <c r="A36" s="223">
        <v>7</v>
      </c>
      <c r="B36" s="84">
        <v>2</v>
      </c>
      <c r="C36" s="85">
        <v>37044</v>
      </c>
      <c r="D36" s="86" t="s">
        <v>122</v>
      </c>
      <c r="E36" s="87">
        <v>1</v>
      </c>
      <c r="F36" s="85">
        <f t="shared" ref="F36:F44" si="8">E36+C36</f>
        <v>37045</v>
      </c>
      <c r="G36" s="87" t="s">
        <v>123</v>
      </c>
      <c r="H36" s="88">
        <f t="shared" si="6"/>
        <v>75000</v>
      </c>
      <c r="I36" s="88">
        <f t="shared" ref="I36:I44" si="9">IF(E36&lt;2,3%*H36,0)</f>
        <v>2250</v>
      </c>
      <c r="J36" s="86" t="str">
        <f>IF(G36="STD","Makan Pagi","Makan Pagi &amp; Makan Malam")</f>
        <v>Makan Pagi &amp; Makan Malam</v>
      </c>
      <c r="K36" s="287"/>
      <c r="L36" s="90">
        <f t="shared" si="7"/>
        <v>0</v>
      </c>
    </row>
    <row r="37" spans="1:12" ht="12.95" customHeight="1" thickBot="1" x14ac:dyDescent="0.35">
      <c r="A37" s="223">
        <v>8</v>
      </c>
      <c r="B37" s="84">
        <v>3</v>
      </c>
      <c r="C37" s="85">
        <v>37052</v>
      </c>
      <c r="D37" s="86" t="s">
        <v>124</v>
      </c>
      <c r="E37" s="87">
        <v>4</v>
      </c>
      <c r="F37" s="85">
        <f t="shared" si="8"/>
        <v>37056</v>
      </c>
      <c r="G37" s="87" t="s">
        <v>121</v>
      </c>
      <c r="H37" s="88">
        <f t="shared" si="6"/>
        <v>45000</v>
      </c>
      <c r="I37" s="88">
        <f t="shared" si="9"/>
        <v>0</v>
      </c>
      <c r="J37" s="86" t="str">
        <f>IF(G37="STD","Makan Pagi","Makan Pagi &amp; Makan Malam")</f>
        <v>Makan Pagi</v>
      </c>
      <c r="K37" s="287"/>
      <c r="L37" s="90">
        <f t="shared" si="7"/>
        <v>0.2</v>
      </c>
    </row>
    <row r="38" spans="1:12" ht="12.95" customHeight="1" thickBot="1" x14ac:dyDescent="0.35">
      <c r="A38" s="223">
        <v>9</v>
      </c>
      <c r="B38" s="84">
        <v>4</v>
      </c>
      <c r="C38" s="85">
        <v>37053</v>
      </c>
      <c r="D38" s="86" t="s">
        <v>125</v>
      </c>
      <c r="E38" s="87">
        <v>3</v>
      </c>
      <c r="F38" s="85">
        <f t="shared" si="8"/>
        <v>37056</v>
      </c>
      <c r="G38" s="87" t="s">
        <v>121</v>
      </c>
      <c r="H38" s="88">
        <f t="shared" si="6"/>
        <v>45000</v>
      </c>
      <c r="I38" s="88">
        <f t="shared" si="9"/>
        <v>0</v>
      </c>
      <c r="J38" s="86" t="str">
        <f>IF(G38="STD","Makan Pagi","Makan Pagi &amp; Makan Malam")</f>
        <v>Makan Pagi</v>
      </c>
      <c r="K38" s="287"/>
      <c r="L38" s="90">
        <f t="shared" si="7"/>
        <v>0</v>
      </c>
    </row>
    <row r="39" spans="1:12" ht="12.95" customHeight="1" thickBot="1" x14ac:dyDescent="0.35">
      <c r="A39" s="223">
        <v>10</v>
      </c>
      <c r="B39" s="84">
        <v>5</v>
      </c>
      <c r="C39" s="85">
        <v>37054</v>
      </c>
      <c r="D39" s="86" t="s">
        <v>126</v>
      </c>
      <c r="E39" s="87">
        <v>1</v>
      </c>
      <c r="F39" s="85">
        <f t="shared" si="8"/>
        <v>37055</v>
      </c>
      <c r="G39" s="87" t="s">
        <v>121</v>
      </c>
      <c r="H39" s="88">
        <f t="shared" si="6"/>
        <v>45000</v>
      </c>
      <c r="I39" s="88">
        <f t="shared" si="9"/>
        <v>1350</v>
      </c>
      <c r="J39" s="86" t="str">
        <f>IF(G39="STD","Makan Pagi","Makan Pagi &amp;Makan Malam")</f>
        <v>Makan Pagi</v>
      </c>
      <c r="K39" s="287"/>
      <c r="L39" s="90">
        <f t="shared" si="7"/>
        <v>0</v>
      </c>
    </row>
    <row r="40" spans="1:12" ht="12.95" customHeight="1" thickBot="1" x14ac:dyDescent="0.35">
      <c r="A40" s="223">
        <v>11</v>
      </c>
      <c r="B40" s="84">
        <v>6</v>
      </c>
      <c r="C40" s="85">
        <v>37062</v>
      </c>
      <c r="D40" s="86" t="s">
        <v>127</v>
      </c>
      <c r="E40" s="87">
        <v>6</v>
      </c>
      <c r="F40" s="85">
        <f t="shared" si="8"/>
        <v>37068</v>
      </c>
      <c r="G40" s="87" t="s">
        <v>123</v>
      </c>
      <c r="H40" s="88">
        <f t="shared" si="6"/>
        <v>75000</v>
      </c>
      <c r="I40" s="88">
        <f t="shared" si="9"/>
        <v>0</v>
      </c>
      <c r="J40" s="86" t="str">
        <f>IF(G40="STD","Makan Pagi","Makan Pagi &amp; Makan Malam")</f>
        <v>Makan Pagi &amp; Makan Malam</v>
      </c>
      <c r="K40" s="287"/>
      <c r="L40" s="90">
        <f t="shared" si="7"/>
        <v>0.2</v>
      </c>
    </row>
    <row r="41" spans="1:12" ht="12.95" customHeight="1" thickBot="1" x14ac:dyDescent="0.35">
      <c r="A41" s="223">
        <v>12</v>
      </c>
      <c r="B41" s="84">
        <v>7</v>
      </c>
      <c r="C41" s="85">
        <v>37063</v>
      </c>
      <c r="D41" s="86" t="s">
        <v>128</v>
      </c>
      <c r="E41" s="87">
        <v>5</v>
      </c>
      <c r="F41" s="85">
        <f t="shared" si="8"/>
        <v>37068</v>
      </c>
      <c r="G41" s="87" t="s">
        <v>123</v>
      </c>
      <c r="H41" s="88">
        <f t="shared" si="6"/>
        <v>75000</v>
      </c>
      <c r="I41" s="88">
        <f t="shared" si="9"/>
        <v>0</v>
      </c>
      <c r="J41" s="86" t="str">
        <f>IF(G41="STD","Makan pagi","Makan Pagi &amp; Makan Malam")</f>
        <v>Makan Pagi &amp; Makan Malam</v>
      </c>
      <c r="K41" s="287"/>
      <c r="L41" s="90">
        <f t="shared" si="7"/>
        <v>0.2</v>
      </c>
    </row>
    <row r="42" spans="1:12" ht="12.95" customHeight="1" thickBot="1" x14ac:dyDescent="0.35">
      <c r="A42" s="223">
        <v>13</v>
      </c>
      <c r="B42" s="84">
        <v>8</v>
      </c>
      <c r="C42" s="85">
        <v>37064</v>
      </c>
      <c r="D42" s="86" t="s">
        <v>129</v>
      </c>
      <c r="E42" s="87">
        <v>1</v>
      </c>
      <c r="F42" s="85">
        <f t="shared" si="8"/>
        <v>37065</v>
      </c>
      <c r="G42" s="87" t="s">
        <v>123</v>
      </c>
      <c r="H42" s="88">
        <f t="shared" si="6"/>
        <v>75000</v>
      </c>
      <c r="I42" s="88">
        <f t="shared" si="9"/>
        <v>2250</v>
      </c>
      <c r="J42" s="86" t="str">
        <f>IF(G42="STD","Makan Pagi","Makan Pagi &amp; Makan Malam")</f>
        <v>Makan Pagi &amp; Makan Malam</v>
      </c>
      <c r="K42" s="287"/>
      <c r="L42" s="90">
        <f t="shared" si="7"/>
        <v>0</v>
      </c>
    </row>
    <row r="43" spans="1:12" ht="12.95" customHeight="1" thickBot="1" x14ac:dyDescent="0.35">
      <c r="A43" s="223">
        <v>14</v>
      </c>
      <c r="B43" s="84">
        <v>9</v>
      </c>
      <c r="C43" s="85">
        <v>37064</v>
      </c>
      <c r="D43" s="86" t="s">
        <v>130</v>
      </c>
      <c r="E43" s="87">
        <v>2</v>
      </c>
      <c r="F43" s="85">
        <f t="shared" si="8"/>
        <v>37066</v>
      </c>
      <c r="G43" s="87" t="s">
        <v>123</v>
      </c>
      <c r="H43" s="88">
        <f t="shared" si="6"/>
        <v>75000</v>
      </c>
      <c r="I43" s="88">
        <f t="shared" si="9"/>
        <v>0</v>
      </c>
      <c r="J43" s="86" t="str">
        <f>IF(G43="STD","Makan Pagi","Makan Pagi &amp; Makan Malam")</f>
        <v>Makan Pagi &amp; Makan Malam</v>
      </c>
      <c r="K43" s="287"/>
      <c r="L43" s="90">
        <f t="shared" si="7"/>
        <v>0</v>
      </c>
    </row>
    <row r="44" spans="1:12" ht="12.95" customHeight="1" thickBot="1" x14ac:dyDescent="0.35">
      <c r="A44" s="223">
        <v>15</v>
      </c>
      <c r="B44" s="91">
        <v>10</v>
      </c>
      <c r="C44" s="92">
        <v>37065</v>
      </c>
      <c r="D44" s="93" t="s">
        <v>131</v>
      </c>
      <c r="E44" s="94">
        <v>4</v>
      </c>
      <c r="F44" s="92">
        <f t="shared" si="8"/>
        <v>37069</v>
      </c>
      <c r="G44" s="93" t="s">
        <v>121</v>
      </c>
      <c r="H44" s="95">
        <f t="shared" si="6"/>
        <v>45000</v>
      </c>
      <c r="I44" s="95">
        <f t="shared" si="9"/>
        <v>0</v>
      </c>
      <c r="J44" s="93" t="str">
        <f>IF(G44="STD","Makan Pagi","Makan Pagi &amp; Makan Malam")</f>
        <v>Makan Pagi</v>
      </c>
      <c r="K44" s="288"/>
      <c r="L44" s="96">
        <f t="shared" si="7"/>
        <v>0.2</v>
      </c>
    </row>
  </sheetData>
  <mergeCells count="4">
    <mergeCell ref="B30:L30"/>
    <mergeCell ref="B31:L31"/>
    <mergeCell ref="A1:C1"/>
    <mergeCell ref="A27:C27"/>
  </mergeCells>
  <phoneticPr fontId="1" type="noConversion"/>
  <printOptions horizontalCentered="1"/>
  <pageMargins left="0.39370078740157483" right="0.74803149606299213" top="0.39370078740157483" bottom="0.39370078740157483" header="0.39370078740157483" footer="0.51181102362204722"/>
  <pageSetup paperSize="9" orientation="landscape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F8" sqref="F8"/>
    </sheetView>
  </sheetViews>
  <sheetFormatPr defaultRowHeight="13.5" x14ac:dyDescent="0.3"/>
  <cols>
    <col min="1" max="1" width="3.625" style="30" customWidth="1"/>
    <col min="2" max="2" width="4" style="30" customWidth="1"/>
    <col min="3" max="3" width="10.625" style="30" customWidth="1"/>
    <col min="4" max="4" width="4.875" style="30" customWidth="1"/>
    <col min="5" max="5" width="7" style="30" bestFit="1" customWidth="1"/>
    <col min="6" max="6" width="11.75" style="30" bestFit="1" customWidth="1"/>
    <col min="7" max="7" width="10.875" style="30" bestFit="1" customWidth="1"/>
    <col min="8" max="8" width="11.75" style="30" bestFit="1" customWidth="1"/>
    <col min="9" max="9" width="5.875" style="30" customWidth="1"/>
    <col min="10" max="10" width="10.375" style="30" bestFit="1" customWidth="1"/>
    <col min="11" max="16384" width="9" style="30"/>
  </cols>
  <sheetData>
    <row r="1" spans="1:10" ht="15.75" thickBot="1" x14ac:dyDescent="0.35">
      <c r="A1" s="323" t="s">
        <v>344</v>
      </c>
      <c r="B1" s="324"/>
      <c r="C1" s="325"/>
    </row>
    <row r="2" spans="1:10" ht="15" x14ac:dyDescent="0.3">
      <c r="A2" s="227"/>
      <c r="B2" s="227"/>
      <c r="C2" s="227"/>
      <c r="D2" s="228"/>
    </row>
    <row r="4" spans="1:10" x14ac:dyDescent="0.3">
      <c r="B4" s="30" t="s">
        <v>94</v>
      </c>
    </row>
    <row r="5" spans="1:10" x14ac:dyDescent="0.3">
      <c r="B5" s="30" t="s">
        <v>368</v>
      </c>
    </row>
    <row r="6" spans="1:10" ht="14.25" thickBot="1" x14ac:dyDescent="0.35"/>
    <row r="7" spans="1:10" ht="20.100000000000001" customHeight="1" thickBot="1" x14ac:dyDescent="0.35">
      <c r="A7" s="285"/>
      <c r="B7" s="294" t="s">
        <v>59</v>
      </c>
      <c r="C7" s="20" t="s">
        <v>77</v>
      </c>
      <c r="D7" s="20" t="s">
        <v>78</v>
      </c>
      <c r="E7" s="20" t="s">
        <v>79</v>
      </c>
      <c r="F7" s="20" t="s">
        <v>80</v>
      </c>
      <c r="G7" s="20" t="s">
        <v>81</v>
      </c>
      <c r="H7" s="20" t="s">
        <v>28</v>
      </c>
      <c r="I7" s="20" t="s">
        <v>82</v>
      </c>
      <c r="J7" s="21" t="s">
        <v>83</v>
      </c>
    </row>
    <row r="8" spans="1:10" ht="20.100000000000001" customHeight="1" x14ac:dyDescent="0.3">
      <c r="A8" s="285"/>
      <c r="B8" s="295">
        <v>1</v>
      </c>
      <c r="C8" s="12" t="s">
        <v>84</v>
      </c>
      <c r="D8" s="10" t="s">
        <v>85</v>
      </c>
      <c r="E8" s="261" t="str">
        <f>IF(D8="D","Direktur",IF(D8="S","Staff","PresDir"))</f>
        <v>Direktur</v>
      </c>
      <c r="F8" s="262">
        <f>IF(D8="D",20000000,IF(D8="S",7000000,25000000))</f>
        <v>20000000</v>
      </c>
      <c r="G8" s="107">
        <f>10%*F8</f>
        <v>2000000</v>
      </c>
      <c r="H8" s="107">
        <f>G8+F8</f>
        <v>22000000</v>
      </c>
      <c r="I8" s="10" t="s">
        <v>86</v>
      </c>
      <c r="J8" s="11" t="str">
        <f>IF(I8="T","Tdk. Kawin","Kawin")</f>
        <v>Tdk. Kawin</v>
      </c>
    </row>
    <row r="9" spans="1:10" ht="20.100000000000001" customHeight="1" x14ac:dyDescent="0.3">
      <c r="A9" s="285"/>
      <c r="B9" s="296">
        <v>2</v>
      </c>
      <c r="C9" s="13" t="s">
        <v>87</v>
      </c>
      <c r="D9" s="15" t="s">
        <v>88</v>
      </c>
      <c r="E9" s="261" t="str">
        <f>IF(D9="D","Direktur",IF(D9="S","Staff","PresDir"))</f>
        <v>Staff</v>
      </c>
      <c r="F9" s="262">
        <f t="shared" ref="F9:F12" si="0">IF(D9="D",20000000,IF(D9="S",7000000,25000000))</f>
        <v>7000000</v>
      </c>
      <c r="G9" s="107">
        <f>10%*F9</f>
        <v>700000</v>
      </c>
      <c r="H9" s="107">
        <f>G9+F9</f>
        <v>7700000</v>
      </c>
      <c r="I9" s="15" t="s">
        <v>89</v>
      </c>
      <c r="J9" s="11" t="str">
        <f>IF(I9="T","Tdk. Kawin","Kawin")</f>
        <v>Kawin</v>
      </c>
    </row>
    <row r="10" spans="1:10" ht="20.100000000000001" customHeight="1" x14ac:dyDescent="0.3">
      <c r="A10" s="285"/>
      <c r="B10" s="296">
        <v>3</v>
      </c>
      <c r="C10" s="13" t="s">
        <v>90</v>
      </c>
      <c r="D10" s="15" t="s">
        <v>91</v>
      </c>
      <c r="E10" s="261" t="str">
        <f>IF(D10="D","Direktur",IF(D10="S","Staff","PresDir"))</f>
        <v>PresDir</v>
      </c>
      <c r="F10" s="262">
        <f t="shared" si="0"/>
        <v>25000000</v>
      </c>
      <c r="G10" s="107">
        <f>10%*F10</f>
        <v>2500000</v>
      </c>
      <c r="H10" s="107">
        <f>G10+F10</f>
        <v>27500000</v>
      </c>
      <c r="I10" s="15" t="s">
        <v>89</v>
      </c>
      <c r="J10" s="11" t="str">
        <f>IF(I10="T","Tdk. Kawin","Kawin")</f>
        <v>Kawin</v>
      </c>
    </row>
    <row r="11" spans="1:10" ht="20.100000000000001" customHeight="1" x14ac:dyDescent="0.3">
      <c r="A11" s="285"/>
      <c r="B11" s="296">
        <v>4</v>
      </c>
      <c r="C11" s="13" t="s">
        <v>92</v>
      </c>
      <c r="D11" s="15" t="s">
        <v>88</v>
      </c>
      <c r="E11" s="261" t="str">
        <f>IF(D11="D","Direktur",IF(D11="S","Staff","PresDir"))</f>
        <v>Staff</v>
      </c>
      <c r="F11" s="262">
        <f t="shared" si="0"/>
        <v>7000000</v>
      </c>
      <c r="G11" s="107">
        <f>10%*F11</f>
        <v>700000</v>
      </c>
      <c r="H11" s="107">
        <f>G11+F11</f>
        <v>7700000</v>
      </c>
      <c r="I11" s="15" t="s">
        <v>86</v>
      </c>
      <c r="J11" s="11" t="str">
        <f>IF(I11="T","Tdk. Kawin","Kawin")</f>
        <v>Tdk. Kawin</v>
      </c>
    </row>
    <row r="12" spans="1:10" ht="20.100000000000001" customHeight="1" thickBot="1" x14ac:dyDescent="0.35">
      <c r="A12" s="285"/>
      <c r="B12" s="297">
        <v>5</v>
      </c>
      <c r="C12" s="22" t="s">
        <v>93</v>
      </c>
      <c r="D12" s="18" t="s">
        <v>85</v>
      </c>
      <c r="E12" s="261" t="str">
        <f>IF(D12="D","Direktur",IF(D12="S","Staff","PresDir"))</f>
        <v>Direktur</v>
      </c>
      <c r="F12" s="262">
        <f t="shared" si="0"/>
        <v>20000000</v>
      </c>
      <c r="G12" s="107">
        <f>10%*F12</f>
        <v>2000000</v>
      </c>
      <c r="H12" s="107">
        <f>G12+F12</f>
        <v>22000000</v>
      </c>
      <c r="I12" s="18" t="s">
        <v>89</v>
      </c>
      <c r="J12" s="11" t="str">
        <f>IF(I12="T","Tdk. Kawin","Kawin")</f>
        <v>Kawin</v>
      </c>
    </row>
    <row r="14" spans="1:10" ht="14.25" x14ac:dyDescent="0.3">
      <c r="B14" s="105" t="s">
        <v>55</v>
      </c>
      <c r="C14" s="101"/>
      <c r="D14" s="101"/>
      <c r="E14" s="101"/>
      <c r="F14" s="101"/>
    </row>
    <row r="15" spans="1:10" ht="14.25" x14ac:dyDescent="0.3">
      <c r="B15" s="101"/>
      <c r="C15" s="130" t="s">
        <v>96</v>
      </c>
      <c r="D15" s="101"/>
      <c r="E15" s="101"/>
      <c r="F15" s="105" t="s">
        <v>98</v>
      </c>
    </row>
    <row r="16" spans="1:10" x14ac:dyDescent="0.3">
      <c r="B16" s="101"/>
      <c r="C16" s="101" t="s">
        <v>105</v>
      </c>
      <c r="D16" s="101"/>
      <c r="E16" s="101"/>
      <c r="F16" s="101" t="s">
        <v>99</v>
      </c>
    </row>
    <row r="17" spans="1:10" ht="14.25" x14ac:dyDescent="0.3">
      <c r="B17" s="101"/>
      <c r="C17" s="101" t="s">
        <v>106</v>
      </c>
      <c r="D17" s="101"/>
      <c r="E17" s="101"/>
      <c r="F17" s="105" t="s">
        <v>100</v>
      </c>
    </row>
    <row r="18" spans="1:10" x14ac:dyDescent="0.3">
      <c r="B18" s="101"/>
      <c r="C18" s="101" t="s">
        <v>107</v>
      </c>
      <c r="D18" s="101"/>
      <c r="E18" s="101"/>
      <c r="F18" s="101" t="s">
        <v>101</v>
      </c>
    </row>
    <row r="19" spans="1:10" ht="14.25" x14ac:dyDescent="0.3">
      <c r="B19" s="101"/>
      <c r="C19" s="130" t="s">
        <v>97</v>
      </c>
      <c r="D19" s="101"/>
      <c r="E19" s="101"/>
      <c r="F19" s="105" t="s">
        <v>102</v>
      </c>
    </row>
    <row r="20" spans="1:10" x14ac:dyDescent="0.3">
      <c r="B20" s="101"/>
      <c r="C20" s="101" t="s">
        <v>381</v>
      </c>
      <c r="D20" s="101"/>
      <c r="E20" s="101"/>
      <c r="F20" s="101" t="s">
        <v>103</v>
      </c>
    </row>
    <row r="21" spans="1:10" x14ac:dyDescent="0.3">
      <c r="B21" s="101"/>
      <c r="C21" s="101" t="s">
        <v>382</v>
      </c>
      <c r="D21" s="101"/>
      <c r="E21" s="101"/>
      <c r="F21" s="101" t="s">
        <v>104</v>
      </c>
    </row>
    <row r="22" spans="1:10" x14ac:dyDescent="0.3">
      <c r="B22" s="101"/>
      <c r="C22" s="101" t="s">
        <v>383</v>
      </c>
      <c r="D22" s="101"/>
      <c r="E22" s="101"/>
      <c r="F22" s="101"/>
    </row>
    <row r="23" spans="1:10" x14ac:dyDescent="0.3">
      <c r="B23" s="101"/>
      <c r="C23" s="101"/>
      <c r="D23" s="101"/>
      <c r="E23" s="101"/>
      <c r="F23" s="101"/>
    </row>
    <row r="24" spans="1:10" ht="14.25" thickBot="1" x14ac:dyDescent="0.35">
      <c r="B24" s="101"/>
      <c r="C24" s="101"/>
      <c r="D24" s="101"/>
      <c r="E24" s="101"/>
      <c r="F24" s="101"/>
    </row>
    <row r="25" spans="1:10" ht="15.75" thickBot="1" x14ac:dyDescent="0.35">
      <c r="A25" s="323" t="s">
        <v>344</v>
      </c>
      <c r="B25" s="324"/>
      <c r="C25" s="325"/>
    </row>
    <row r="26" spans="1:10" ht="15" x14ac:dyDescent="0.3">
      <c r="A26" s="227"/>
      <c r="B26" s="227"/>
      <c r="C26" s="227"/>
    </row>
    <row r="27" spans="1:10" ht="14.25" thickBot="1" x14ac:dyDescent="0.35"/>
    <row r="28" spans="1:10" ht="14.25" thickBot="1" x14ac:dyDescent="0.35">
      <c r="A28" s="223"/>
      <c r="B28" s="221" t="s">
        <v>331</v>
      </c>
      <c r="C28" s="221" t="s">
        <v>332</v>
      </c>
      <c r="D28" s="221" t="s">
        <v>333</v>
      </c>
      <c r="E28" s="221" t="s">
        <v>85</v>
      </c>
      <c r="F28" s="221" t="s">
        <v>334</v>
      </c>
      <c r="G28" s="221" t="s">
        <v>335</v>
      </c>
      <c r="H28" s="221" t="s">
        <v>338</v>
      </c>
      <c r="I28" s="221" t="s">
        <v>339</v>
      </c>
      <c r="J28" s="221" t="s">
        <v>288</v>
      </c>
    </row>
    <row r="29" spans="1:10" ht="17.25" thickBot="1" x14ac:dyDescent="0.35">
      <c r="A29" s="223">
        <v>1</v>
      </c>
      <c r="B29" s="326" t="s">
        <v>94</v>
      </c>
      <c r="C29" s="327"/>
      <c r="D29" s="327"/>
      <c r="E29" s="327"/>
      <c r="F29" s="327"/>
      <c r="G29" s="327"/>
      <c r="H29" s="327"/>
      <c r="I29" s="327"/>
      <c r="J29" s="328"/>
    </row>
    <row r="30" spans="1:10" ht="17.25" thickBot="1" x14ac:dyDescent="0.35">
      <c r="A30" s="223">
        <v>2</v>
      </c>
      <c r="B30" s="329" t="s">
        <v>95</v>
      </c>
      <c r="C30" s="330"/>
      <c r="D30" s="330"/>
      <c r="E30" s="330"/>
      <c r="F30" s="330"/>
      <c r="G30" s="330"/>
      <c r="H30" s="330"/>
      <c r="I30" s="330"/>
      <c r="J30" s="331"/>
    </row>
    <row r="31" spans="1:10" ht="14.25" thickBot="1" x14ac:dyDescent="0.35">
      <c r="A31" s="223">
        <v>3</v>
      </c>
    </row>
    <row r="32" spans="1:10" ht="20.100000000000001" customHeight="1" thickBot="1" x14ac:dyDescent="0.35">
      <c r="A32" s="223">
        <v>4</v>
      </c>
      <c r="B32" s="19" t="s">
        <v>59</v>
      </c>
      <c r="C32" s="20" t="s">
        <v>77</v>
      </c>
      <c r="D32" s="20" t="s">
        <v>78</v>
      </c>
      <c r="E32" s="20" t="s">
        <v>79</v>
      </c>
      <c r="F32" s="20" t="s">
        <v>80</v>
      </c>
      <c r="G32" s="20" t="s">
        <v>81</v>
      </c>
      <c r="H32" s="20" t="s">
        <v>28</v>
      </c>
      <c r="I32" s="20" t="s">
        <v>82</v>
      </c>
      <c r="J32" s="21" t="s">
        <v>83</v>
      </c>
    </row>
    <row r="33" spans="1:10" ht="20.100000000000001" customHeight="1" thickBot="1" x14ac:dyDescent="0.35">
      <c r="A33" s="223">
        <v>5</v>
      </c>
      <c r="B33" s="9">
        <v>1</v>
      </c>
      <c r="C33" s="12" t="s">
        <v>84</v>
      </c>
      <c r="D33" s="10" t="s">
        <v>85</v>
      </c>
      <c r="E33" s="12" t="str">
        <f>IF(D33="P","Presdir",IF(D33="D","Direktur","Staff"))</f>
        <v>Direktur</v>
      </c>
      <c r="F33" s="107">
        <f>IF(D33="P",1500000,IF(D33="D",750000,300000))</f>
        <v>750000</v>
      </c>
      <c r="G33" s="107">
        <f>F33*10%</f>
        <v>75000</v>
      </c>
      <c r="H33" s="107">
        <f>F33+G33</f>
        <v>825000</v>
      </c>
      <c r="I33" s="10" t="s">
        <v>86</v>
      </c>
      <c r="J33" s="110" t="str">
        <f>IF(I33="K","Kawin","Tdk Kawin")</f>
        <v>Tdk Kawin</v>
      </c>
    </row>
    <row r="34" spans="1:10" ht="20.100000000000001" customHeight="1" thickBot="1" x14ac:dyDescent="0.35">
      <c r="A34" s="223">
        <v>6</v>
      </c>
      <c r="B34" s="14">
        <v>2</v>
      </c>
      <c r="C34" s="13" t="s">
        <v>87</v>
      </c>
      <c r="D34" s="15" t="s">
        <v>88</v>
      </c>
      <c r="E34" s="13" t="str">
        <f>IF(D34="P","PresDir",IF(D34="D","Direktur","Staff"))</f>
        <v>Staff</v>
      </c>
      <c r="F34" s="108">
        <f>IF(D34="P",1500000,IF(D34="D",750000,300000))</f>
        <v>300000</v>
      </c>
      <c r="G34" s="108">
        <f>F34*10%</f>
        <v>30000</v>
      </c>
      <c r="H34" s="108">
        <f>F34+G34</f>
        <v>330000</v>
      </c>
      <c r="I34" s="15" t="s">
        <v>89</v>
      </c>
      <c r="J34" s="111" t="str">
        <f>IF(I34="K","Kawin","TdkKawin")</f>
        <v>Kawin</v>
      </c>
    </row>
    <row r="35" spans="1:10" ht="20.100000000000001" customHeight="1" thickBot="1" x14ac:dyDescent="0.35">
      <c r="A35" s="223">
        <v>7</v>
      </c>
      <c r="B35" s="14">
        <v>3</v>
      </c>
      <c r="C35" s="13" t="s">
        <v>90</v>
      </c>
      <c r="D35" s="15" t="s">
        <v>91</v>
      </c>
      <c r="E35" s="13" t="str">
        <f>IF(D35="P","PresDir",IF(D35="D","Direktur","Staff"))</f>
        <v>PresDir</v>
      </c>
      <c r="F35" s="108">
        <f>IF(D35="P",1500000,IF(D35="D",750000,300000))</f>
        <v>1500000</v>
      </c>
      <c r="G35" s="108">
        <f>F35*10%</f>
        <v>150000</v>
      </c>
      <c r="H35" s="108">
        <f>F35+G35</f>
        <v>1650000</v>
      </c>
      <c r="I35" s="15" t="s">
        <v>89</v>
      </c>
      <c r="J35" s="111" t="str">
        <f>IF(I35="K","Kawin","Tdk Kawin")</f>
        <v>Kawin</v>
      </c>
    </row>
    <row r="36" spans="1:10" ht="20.100000000000001" customHeight="1" thickBot="1" x14ac:dyDescent="0.35">
      <c r="A36" s="223">
        <v>8</v>
      </c>
      <c r="B36" s="14">
        <v>4</v>
      </c>
      <c r="C36" s="13" t="s">
        <v>92</v>
      </c>
      <c r="D36" s="15" t="s">
        <v>88</v>
      </c>
      <c r="E36" s="13" t="str">
        <f>IF(D36="P","PresDir",IF(D36="D","Direktur","Staff"))</f>
        <v>Staff</v>
      </c>
      <c r="F36" s="108">
        <f>IF(D36="P",1500000,IF(D36="D",750000,300000))</f>
        <v>300000</v>
      </c>
      <c r="G36" s="108">
        <f>F36*10%</f>
        <v>30000</v>
      </c>
      <c r="H36" s="108">
        <f>F36+G36</f>
        <v>330000</v>
      </c>
      <c r="I36" s="15" t="s">
        <v>86</v>
      </c>
      <c r="J36" s="111" t="str">
        <f>IF(I36="K","Kawin","Tdk Kawin")</f>
        <v>Tdk Kawin</v>
      </c>
    </row>
    <row r="37" spans="1:10" ht="20.100000000000001" customHeight="1" thickBot="1" x14ac:dyDescent="0.35">
      <c r="A37" s="223">
        <v>9</v>
      </c>
      <c r="B37" s="17">
        <v>5</v>
      </c>
      <c r="C37" s="22" t="s">
        <v>93</v>
      </c>
      <c r="D37" s="18" t="s">
        <v>85</v>
      </c>
      <c r="E37" s="22" t="str">
        <f>IF(D37="P","PresDir",IF(D37="D","Direktur","Staff"))</f>
        <v>Direktur</v>
      </c>
      <c r="F37" s="109">
        <f>IF(D37="P",1500000,IF(D37="D",750000,300000))</f>
        <v>750000</v>
      </c>
      <c r="G37" s="109">
        <f>F37*10%</f>
        <v>75000</v>
      </c>
      <c r="H37" s="109">
        <f>F37+G37</f>
        <v>825000</v>
      </c>
      <c r="I37" s="18" t="s">
        <v>89</v>
      </c>
      <c r="J37" s="112" t="str">
        <f>IF(I37="K","Kawin","Tdk Kawin")</f>
        <v>Kawin</v>
      </c>
    </row>
    <row r="38" spans="1:10" x14ac:dyDescent="0.3">
      <c r="C38" s="75"/>
    </row>
  </sheetData>
  <mergeCells count="4">
    <mergeCell ref="B29:J29"/>
    <mergeCell ref="B30:J30"/>
    <mergeCell ref="A1:C1"/>
    <mergeCell ref="A25:C25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4294967293" vertic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showGridLines="0" topLeftCell="A2" workbookViewId="0">
      <selection activeCell="F7" sqref="F7"/>
    </sheetView>
  </sheetViews>
  <sheetFormatPr defaultRowHeight="13.5" x14ac:dyDescent="0.3"/>
  <cols>
    <col min="1" max="1" width="3.625" style="30" customWidth="1"/>
    <col min="2" max="2" width="4.75" style="30" customWidth="1"/>
    <col min="3" max="3" width="9" style="30"/>
    <col min="4" max="4" width="12.375" style="30" customWidth="1"/>
    <col min="5" max="5" width="8.375" style="30" customWidth="1"/>
    <col min="6" max="6" width="9.75" style="30" customWidth="1"/>
    <col min="7" max="7" width="8" style="30" customWidth="1"/>
    <col min="8" max="8" width="11.75" style="30" bestFit="1" customWidth="1"/>
    <col min="9" max="16384" width="9" style="30"/>
  </cols>
  <sheetData>
    <row r="1" spans="1:10" ht="15.75" thickBot="1" x14ac:dyDescent="0.35">
      <c r="A1" s="323" t="s">
        <v>345</v>
      </c>
      <c r="B1" s="324"/>
      <c r="C1" s="325"/>
    </row>
    <row r="2" spans="1:10" ht="15" x14ac:dyDescent="0.3">
      <c r="A2" s="227"/>
      <c r="B2" s="227"/>
      <c r="C2" s="227"/>
      <c r="D2" s="228"/>
    </row>
    <row r="3" spans="1:10" ht="14.25" thickBot="1" x14ac:dyDescent="0.35"/>
    <row r="4" spans="1:10" ht="14.25" thickBot="1" x14ac:dyDescent="0.35">
      <c r="A4" s="223"/>
      <c r="B4" s="221" t="s">
        <v>331</v>
      </c>
      <c r="C4" s="221" t="s">
        <v>332</v>
      </c>
      <c r="D4" s="221" t="s">
        <v>333</v>
      </c>
      <c r="E4" s="221" t="s">
        <v>85</v>
      </c>
      <c r="F4" s="221" t="s">
        <v>334</v>
      </c>
      <c r="G4" s="221" t="s">
        <v>335</v>
      </c>
      <c r="H4" s="221" t="s">
        <v>338</v>
      </c>
      <c r="I4" s="225"/>
      <c r="J4" s="226"/>
    </row>
    <row r="5" spans="1:10" ht="14.25" thickBot="1" x14ac:dyDescent="0.35">
      <c r="A5" s="223">
        <v>1</v>
      </c>
      <c r="B5" s="30" t="s">
        <v>140</v>
      </c>
    </row>
    <row r="6" spans="1:10" ht="15.75" thickBot="1" x14ac:dyDescent="0.35">
      <c r="A6" s="223">
        <v>2</v>
      </c>
      <c r="B6" s="32" t="s">
        <v>141</v>
      </c>
    </row>
    <row r="7" spans="1:10" ht="15.75" thickBot="1" x14ac:dyDescent="0.35">
      <c r="A7" s="223">
        <v>3</v>
      </c>
      <c r="B7" s="265" t="s">
        <v>389</v>
      </c>
    </row>
    <row r="8" spans="1:10" ht="16.5" thickBot="1" x14ac:dyDescent="0.35">
      <c r="A8" s="223">
        <v>4</v>
      </c>
      <c r="B8" s="29"/>
      <c r="C8" s="29"/>
      <c r="D8" s="29"/>
      <c r="E8" s="29"/>
      <c r="F8" s="29"/>
      <c r="G8" s="29"/>
      <c r="H8" s="29"/>
    </row>
    <row r="9" spans="1:10" ht="30" customHeight="1" thickBot="1" x14ac:dyDescent="0.35">
      <c r="A9" s="223">
        <v>5</v>
      </c>
      <c r="B9" s="1" t="s">
        <v>2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147</v>
      </c>
      <c r="H9" s="3" t="s">
        <v>148</v>
      </c>
    </row>
    <row r="10" spans="1:10" ht="14.25" thickBot="1" x14ac:dyDescent="0.35">
      <c r="A10" s="223">
        <v>6</v>
      </c>
      <c r="B10" s="114">
        <v>1</v>
      </c>
      <c r="C10" s="121" t="s">
        <v>149</v>
      </c>
      <c r="D10" s="116" t="str">
        <f>IF(LEFT(C10,2)="TA","Tek. Arsitektur",IF(LEFT(C10,2)="EK","Ekonomi",IF(LEFT(C10,2)="HK","Hukum",IF(LEFT(C10,2)="TS","Tek. Sipil","Sosial Politik"))))</f>
        <v>Tek. Arsitektur</v>
      </c>
      <c r="E10" s="115">
        <f>1935+MID(C10,3,2)</f>
        <v>2024</v>
      </c>
      <c r="F10" s="263">
        <f>IF(LEFT(C10,2)="TA",500000,IF(LEFT(C10,2)="EK",250000,IF(LEFT(C10,2)="HK",350000,IF(LEFT(C10,2)="TS",500000,300000))))</f>
        <v>500000</v>
      </c>
      <c r="G10" s="121">
        <v>20</v>
      </c>
      <c r="H10" s="264">
        <f>G10*F10</f>
        <v>10000000</v>
      </c>
    </row>
    <row r="11" spans="1:10" ht="14.25" thickBot="1" x14ac:dyDescent="0.35">
      <c r="A11" s="223">
        <v>7</v>
      </c>
      <c r="B11" s="119">
        <v>2</v>
      </c>
      <c r="C11" s="158" t="s">
        <v>150</v>
      </c>
      <c r="D11" s="116" t="str">
        <f t="shared" ref="D11:D19" si="0">IF(LEFT(C11,2)="TA","Tek. Arsitektur",IF(LEFT(C11,2)="EK","Ekonomi",IF(LEFT(C11,2)="HK","Hukum",IF(LEFT(C11,2)="TS","Tek. Sipil","Sosial Politik"))))</f>
        <v>Tek. Sipil</v>
      </c>
      <c r="E11" s="115">
        <f t="shared" ref="E11:E19" si="1">1935+MID(C11,3,2)</f>
        <v>2015</v>
      </c>
      <c r="F11" s="263">
        <f t="shared" ref="F11:F19" si="2">IF(LEFT(C11,2)="TA",500000,IF(LEFT(C11,2)="EK",250000,IF(LEFT(C11,2)="HK",350000,IF(LEFT(C11,2)="TS",500000,300000))))</f>
        <v>500000</v>
      </c>
      <c r="G11" s="158">
        <v>21</v>
      </c>
      <c r="H11" s="264">
        <f t="shared" ref="H11:H19" si="3">G11*F11</f>
        <v>10500000</v>
      </c>
    </row>
    <row r="12" spans="1:10" ht="14.25" thickBot="1" x14ac:dyDescent="0.35">
      <c r="A12" s="223">
        <v>8</v>
      </c>
      <c r="B12" s="119">
        <v>3</v>
      </c>
      <c r="C12" s="158" t="s">
        <v>151</v>
      </c>
      <c r="D12" s="116" t="str">
        <f t="shared" si="0"/>
        <v>Hukum</v>
      </c>
      <c r="E12" s="115">
        <f t="shared" si="1"/>
        <v>2022</v>
      </c>
      <c r="F12" s="263">
        <f t="shared" si="2"/>
        <v>350000</v>
      </c>
      <c r="G12" s="158">
        <v>14</v>
      </c>
      <c r="H12" s="264">
        <f t="shared" si="3"/>
        <v>4900000</v>
      </c>
    </row>
    <row r="13" spans="1:10" ht="14.25" thickBot="1" x14ac:dyDescent="0.35">
      <c r="A13" s="223">
        <v>9</v>
      </c>
      <c r="B13" s="119">
        <v>4</v>
      </c>
      <c r="C13" s="158" t="s">
        <v>152</v>
      </c>
      <c r="D13" s="116" t="str">
        <f t="shared" si="0"/>
        <v>Ekonomi</v>
      </c>
      <c r="E13" s="115">
        <f t="shared" si="1"/>
        <v>2023</v>
      </c>
      <c r="F13" s="263">
        <f t="shared" si="2"/>
        <v>250000</v>
      </c>
      <c r="G13" s="158">
        <v>18</v>
      </c>
      <c r="H13" s="264">
        <f t="shared" si="3"/>
        <v>4500000</v>
      </c>
    </row>
    <row r="14" spans="1:10" ht="14.25" thickBot="1" x14ac:dyDescent="0.35">
      <c r="A14" s="223">
        <v>10</v>
      </c>
      <c r="B14" s="119">
        <v>5</v>
      </c>
      <c r="C14" s="158" t="s">
        <v>153</v>
      </c>
      <c r="D14" s="116" t="str">
        <f t="shared" si="0"/>
        <v>Sosial Politik</v>
      </c>
      <c r="E14" s="115">
        <f t="shared" si="1"/>
        <v>2022</v>
      </c>
      <c r="F14" s="263">
        <f t="shared" si="2"/>
        <v>300000</v>
      </c>
      <c r="G14" s="158">
        <v>10</v>
      </c>
      <c r="H14" s="264">
        <f t="shared" si="3"/>
        <v>3000000</v>
      </c>
    </row>
    <row r="15" spans="1:10" ht="14.25" thickBot="1" x14ac:dyDescent="0.35">
      <c r="A15" s="223">
        <v>11</v>
      </c>
      <c r="B15" s="119">
        <v>6</v>
      </c>
      <c r="C15" s="158" t="s">
        <v>154</v>
      </c>
      <c r="D15" s="116" t="str">
        <f t="shared" si="0"/>
        <v>Tek. Sipil</v>
      </c>
      <c r="E15" s="115">
        <f t="shared" si="1"/>
        <v>2024</v>
      </c>
      <c r="F15" s="263">
        <f t="shared" si="2"/>
        <v>500000</v>
      </c>
      <c r="G15" s="158">
        <v>12</v>
      </c>
      <c r="H15" s="264">
        <f t="shared" si="3"/>
        <v>6000000</v>
      </c>
    </row>
    <row r="16" spans="1:10" ht="14.25" thickBot="1" x14ac:dyDescent="0.35">
      <c r="A16" s="223">
        <v>12</v>
      </c>
      <c r="B16" s="119">
        <v>7</v>
      </c>
      <c r="C16" s="158" t="s">
        <v>155</v>
      </c>
      <c r="D16" s="116" t="str">
        <f t="shared" si="0"/>
        <v>Hukum</v>
      </c>
      <c r="E16" s="115">
        <f t="shared" si="1"/>
        <v>2023</v>
      </c>
      <c r="F16" s="263">
        <f t="shared" si="2"/>
        <v>350000</v>
      </c>
      <c r="G16" s="158">
        <v>12</v>
      </c>
      <c r="H16" s="264">
        <f t="shared" si="3"/>
        <v>4200000</v>
      </c>
    </row>
    <row r="17" spans="1:8" ht="14.25" thickBot="1" x14ac:dyDescent="0.35">
      <c r="A17" s="223">
        <v>13</v>
      </c>
      <c r="B17" s="119">
        <v>8</v>
      </c>
      <c r="C17" s="158" t="s">
        <v>156</v>
      </c>
      <c r="D17" s="116" t="str">
        <f t="shared" si="0"/>
        <v>Sosial Politik</v>
      </c>
      <c r="E17" s="115">
        <f t="shared" si="1"/>
        <v>2025</v>
      </c>
      <c r="F17" s="263">
        <f t="shared" si="2"/>
        <v>300000</v>
      </c>
      <c r="G17" s="158">
        <v>20</v>
      </c>
      <c r="H17" s="264">
        <f t="shared" si="3"/>
        <v>6000000</v>
      </c>
    </row>
    <row r="18" spans="1:8" ht="14.25" thickBot="1" x14ac:dyDescent="0.35">
      <c r="A18" s="223">
        <v>14</v>
      </c>
      <c r="B18" s="119">
        <v>9</v>
      </c>
      <c r="C18" s="158" t="s">
        <v>157</v>
      </c>
      <c r="D18" s="116" t="str">
        <f t="shared" si="0"/>
        <v>Tek. Arsitektur</v>
      </c>
      <c r="E18" s="115">
        <f t="shared" si="1"/>
        <v>2023</v>
      </c>
      <c r="F18" s="263">
        <f t="shared" si="2"/>
        <v>500000</v>
      </c>
      <c r="G18" s="158">
        <v>14</v>
      </c>
      <c r="H18" s="264">
        <f t="shared" si="3"/>
        <v>7000000</v>
      </c>
    </row>
    <row r="19" spans="1:8" ht="15" customHeight="1" thickBot="1" x14ac:dyDescent="0.35">
      <c r="A19" s="223">
        <v>15</v>
      </c>
      <c r="B19" s="124">
        <v>10</v>
      </c>
      <c r="C19" s="159" t="s">
        <v>158</v>
      </c>
      <c r="D19" s="116" t="str">
        <f t="shared" si="0"/>
        <v>Hukum</v>
      </c>
      <c r="E19" s="115">
        <f t="shared" si="1"/>
        <v>2022</v>
      </c>
      <c r="F19" s="263">
        <f t="shared" si="2"/>
        <v>350000</v>
      </c>
      <c r="G19" s="159">
        <v>6</v>
      </c>
      <c r="H19" s="264">
        <f t="shared" si="3"/>
        <v>2100000</v>
      </c>
    </row>
    <row r="21" spans="1:8" ht="14.25" x14ac:dyDescent="0.3">
      <c r="B21" s="105" t="s">
        <v>55</v>
      </c>
      <c r="C21" s="101"/>
      <c r="D21" s="101"/>
      <c r="E21" s="101"/>
      <c r="F21" s="101"/>
    </row>
    <row r="22" spans="1:8" ht="14.25" x14ac:dyDescent="0.3">
      <c r="B22" s="105" t="s">
        <v>164</v>
      </c>
      <c r="C22" s="101"/>
      <c r="D22" s="101"/>
      <c r="E22" s="101"/>
      <c r="F22" s="105" t="s">
        <v>165</v>
      </c>
    </row>
    <row r="23" spans="1:8" x14ac:dyDescent="0.3">
      <c r="B23" s="101" t="s">
        <v>159</v>
      </c>
      <c r="C23" s="101"/>
      <c r="D23" s="101"/>
      <c r="E23" s="101"/>
      <c r="F23" s="101" t="s">
        <v>385</v>
      </c>
    </row>
    <row r="24" spans="1:8" x14ac:dyDescent="0.3">
      <c r="B24" s="101" t="s">
        <v>160</v>
      </c>
      <c r="C24" s="101"/>
      <c r="D24" s="101"/>
      <c r="E24" s="101"/>
      <c r="F24" s="101" t="s">
        <v>386</v>
      </c>
    </row>
    <row r="25" spans="1:8" x14ac:dyDescent="0.3">
      <c r="B25" s="101" t="s">
        <v>161</v>
      </c>
      <c r="C25" s="101"/>
      <c r="D25" s="101"/>
      <c r="E25" s="101"/>
      <c r="F25" s="101" t="s">
        <v>387</v>
      </c>
    </row>
    <row r="26" spans="1:8" x14ac:dyDescent="0.3">
      <c r="B26" s="101" t="s">
        <v>162</v>
      </c>
      <c r="C26" s="101"/>
      <c r="D26" s="101"/>
      <c r="E26" s="101"/>
      <c r="F26" s="101" t="s">
        <v>384</v>
      </c>
    </row>
    <row r="27" spans="1:8" x14ac:dyDescent="0.3">
      <c r="B27" s="101" t="s">
        <v>163</v>
      </c>
      <c r="C27" s="101"/>
      <c r="D27" s="101"/>
      <c r="E27" s="101"/>
      <c r="F27" s="101" t="s">
        <v>388</v>
      </c>
    </row>
    <row r="28" spans="1:8" ht="14.25" x14ac:dyDescent="0.3">
      <c r="B28" s="105" t="s">
        <v>166</v>
      </c>
      <c r="C28" s="101"/>
      <c r="D28" s="101"/>
      <c r="E28" s="101"/>
      <c r="F28" s="101"/>
    </row>
    <row r="29" spans="1:8" ht="14.25" x14ac:dyDescent="0.3">
      <c r="B29" s="105" t="s">
        <v>167</v>
      </c>
      <c r="C29" s="101"/>
      <c r="D29" s="101"/>
      <c r="E29" s="101"/>
      <c r="F29" s="101"/>
    </row>
    <row r="30" spans="1:8" ht="15" thickBot="1" x14ac:dyDescent="0.35">
      <c r="B30" s="105"/>
      <c r="C30" s="101"/>
      <c r="D30" s="101"/>
      <c r="E30" s="101"/>
      <c r="F30" s="101"/>
    </row>
    <row r="31" spans="1:8" ht="15.75" thickBot="1" x14ac:dyDescent="0.35">
      <c r="A31" s="323" t="s">
        <v>345</v>
      </c>
      <c r="B31" s="324"/>
      <c r="C31" s="325"/>
    </row>
    <row r="32" spans="1:8" ht="15" x14ac:dyDescent="0.3">
      <c r="A32" s="227"/>
      <c r="B32" s="227"/>
      <c r="C32" s="227"/>
      <c r="D32" s="228"/>
    </row>
    <row r="33" spans="1:8" ht="14.25" thickBot="1" x14ac:dyDescent="0.35"/>
    <row r="34" spans="1:8" ht="14.25" thickBot="1" x14ac:dyDescent="0.35">
      <c r="A34" s="223"/>
      <c r="B34" s="221" t="s">
        <v>331</v>
      </c>
      <c r="C34" s="221" t="s">
        <v>332</v>
      </c>
      <c r="D34" s="221" t="s">
        <v>333</v>
      </c>
      <c r="E34" s="221" t="s">
        <v>85</v>
      </c>
      <c r="F34" s="221" t="s">
        <v>334</v>
      </c>
      <c r="G34" s="221" t="s">
        <v>335</v>
      </c>
      <c r="H34" s="221" t="s">
        <v>338</v>
      </c>
    </row>
    <row r="35" spans="1:8" ht="17.25" thickBot="1" x14ac:dyDescent="0.35">
      <c r="A35" s="223">
        <v>1</v>
      </c>
      <c r="B35" s="333" t="s">
        <v>140</v>
      </c>
      <c r="C35" s="334"/>
      <c r="D35" s="334"/>
      <c r="E35" s="334"/>
      <c r="F35" s="334"/>
      <c r="G35" s="334"/>
      <c r="H35" s="377"/>
    </row>
    <row r="36" spans="1:8" ht="17.25" thickBot="1" x14ac:dyDescent="0.35">
      <c r="A36" s="223">
        <v>2</v>
      </c>
      <c r="B36" s="373" t="s">
        <v>141</v>
      </c>
      <c r="C36" s="362"/>
      <c r="D36" s="362"/>
      <c r="E36" s="362"/>
      <c r="F36" s="362"/>
      <c r="G36" s="362"/>
      <c r="H36" s="374"/>
    </row>
    <row r="37" spans="1:8" ht="17.25" thickBot="1" x14ac:dyDescent="0.35">
      <c r="A37" s="223">
        <v>3</v>
      </c>
      <c r="B37" s="375" t="s">
        <v>358</v>
      </c>
      <c r="C37" s="376"/>
      <c r="D37" s="376"/>
      <c r="E37" s="376"/>
      <c r="F37" s="376"/>
      <c r="G37" s="376"/>
      <c r="H37" s="113"/>
    </row>
    <row r="38" spans="1:8" ht="16.5" thickBot="1" x14ac:dyDescent="0.35">
      <c r="A38" s="223">
        <v>4</v>
      </c>
      <c r="B38" s="29"/>
      <c r="C38" s="29"/>
      <c r="D38" s="29"/>
      <c r="E38" s="29"/>
      <c r="F38" s="29"/>
      <c r="G38" s="29"/>
      <c r="H38" s="29"/>
    </row>
    <row r="39" spans="1:8" ht="30" customHeight="1" thickBot="1" x14ac:dyDescent="0.35">
      <c r="A39" s="223">
        <v>5</v>
      </c>
      <c r="B39" s="1" t="s">
        <v>142</v>
      </c>
      <c r="C39" s="2" t="s">
        <v>143</v>
      </c>
      <c r="D39" s="2" t="s">
        <v>144</v>
      </c>
      <c r="E39" s="2" t="s">
        <v>145</v>
      </c>
      <c r="F39" s="2" t="s">
        <v>146</v>
      </c>
      <c r="G39" s="2" t="s">
        <v>147</v>
      </c>
      <c r="H39" s="3" t="s">
        <v>148</v>
      </c>
    </row>
    <row r="40" spans="1:8" ht="20.100000000000001" customHeight="1" thickBot="1" x14ac:dyDescent="0.35">
      <c r="A40" s="223">
        <v>6</v>
      </c>
      <c r="B40" s="114">
        <v>1</v>
      </c>
      <c r="C40" s="115" t="s">
        <v>149</v>
      </c>
      <c r="D40" s="116" t="str">
        <f>IF(LEFT(C40,2)="EK","Ekonomi",IF(LEFT(C40,2)="HK","Hukum",IF(LEFT(C40,2)="SP","Sosial Politik",IF(LEFT(C40,2)="TA","Tek. Arsitektur","Tek. Sipil"))))</f>
        <v>Tek. Arsitektur</v>
      </c>
      <c r="E40" s="115">
        <f>MID(C40,3,2)+1900</f>
        <v>1989</v>
      </c>
      <c r="F40" s="117">
        <f>IF(LEFT(C40,2)="EK",13000,IF(LEFT(C40,2)="HK",11000,IF(LEFT(C40,2)="SP",12000,IF(LEFT(C40,2)="TA",16000,15000))))</f>
        <v>16000</v>
      </c>
      <c r="G40" s="115">
        <v>20</v>
      </c>
      <c r="H40" s="118">
        <f>F40*G40</f>
        <v>320000</v>
      </c>
    </row>
    <row r="41" spans="1:8" ht="20.100000000000001" customHeight="1" thickBot="1" x14ac:dyDescent="0.35">
      <c r="A41" s="223">
        <v>7</v>
      </c>
      <c r="B41" s="119">
        <v>2</v>
      </c>
      <c r="C41" s="120" t="s">
        <v>150</v>
      </c>
      <c r="D41" s="121" t="str">
        <f t="shared" ref="D41:D49" si="4">IF(LEFT(C41,2)="EK","Ekonomi",IF(LEFT(C41,2)="HK","Hukum",IF(LEFT(C41,2)="SP","Sosial Politik",IF(LEFT(C41,2)="TA","Tek. Arsitektur","Tek. Sipil"))))</f>
        <v>Tek. Sipil</v>
      </c>
      <c r="E41" s="120">
        <f>MID(C41,3,2)+1900</f>
        <v>1980</v>
      </c>
      <c r="F41" s="122">
        <f t="shared" ref="F41:F49" si="5">IF(LEFT(C41,2)="EK",13000,IF(LEFT(C41,2)="HK",11000,IF(LEFT(C41,2)="SP",12000,IF(LEFT(C41,2)="TA",16000,15000))))</f>
        <v>15000</v>
      </c>
      <c r="G41" s="120">
        <v>21</v>
      </c>
      <c r="H41" s="123">
        <f t="shared" ref="H41:H49" si="6">F41*G41</f>
        <v>315000</v>
      </c>
    </row>
    <row r="42" spans="1:8" ht="20.100000000000001" customHeight="1" thickBot="1" x14ac:dyDescent="0.35">
      <c r="A42" s="223">
        <v>8</v>
      </c>
      <c r="B42" s="119">
        <v>3</v>
      </c>
      <c r="C42" s="120" t="s">
        <v>151</v>
      </c>
      <c r="D42" s="121" t="str">
        <f t="shared" si="4"/>
        <v>Hukum</v>
      </c>
      <c r="E42" s="120">
        <f>MID(C42,3,2)+1900</f>
        <v>1987</v>
      </c>
      <c r="F42" s="122">
        <f t="shared" si="5"/>
        <v>11000</v>
      </c>
      <c r="G42" s="120">
        <v>14</v>
      </c>
      <c r="H42" s="123">
        <f t="shared" si="6"/>
        <v>154000</v>
      </c>
    </row>
    <row r="43" spans="1:8" ht="20.100000000000001" customHeight="1" thickBot="1" x14ac:dyDescent="0.35">
      <c r="A43" s="223">
        <v>9</v>
      </c>
      <c r="B43" s="119">
        <v>4</v>
      </c>
      <c r="C43" s="120" t="s">
        <v>152</v>
      </c>
      <c r="D43" s="121" t="str">
        <f t="shared" si="4"/>
        <v>Ekonomi</v>
      </c>
      <c r="E43" s="120">
        <f>MID(C43,3,2)+1900</f>
        <v>1988</v>
      </c>
      <c r="F43" s="122">
        <f t="shared" si="5"/>
        <v>13000</v>
      </c>
      <c r="G43" s="120">
        <v>18</v>
      </c>
      <c r="H43" s="123">
        <f t="shared" si="6"/>
        <v>234000</v>
      </c>
    </row>
    <row r="44" spans="1:8" ht="20.100000000000001" customHeight="1" thickBot="1" x14ac:dyDescent="0.35">
      <c r="A44" s="223">
        <v>10</v>
      </c>
      <c r="B44" s="119">
        <v>5</v>
      </c>
      <c r="C44" s="120" t="s">
        <v>153</v>
      </c>
      <c r="D44" s="121" t="str">
        <f t="shared" si="4"/>
        <v>Sosial Politik</v>
      </c>
      <c r="E44" s="120">
        <f t="shared" ref="E44:E49" si="7">MID(C44,3,2)+1900</f>
        <v>1987</v>
      </c>
      <c r="F44" s="122">
        <f t="shared" si="5"/>
        <v>12000</v>
      </c>
      <c r="G44" s="120">
        <v>10</v>
      </c>
      <c r="H44" s="123">
        <f t="shared" si="6"/>
        <v>120000</v>
      </c>
    </row>
    <row r="45" spans="1:8" ht="20.100000000000001" customHeight="1" thickBot="1" x14ac:dyDescent="0.35">
      <c r="A45" s="223">
        <v>11</v>
      </c>
      <c r="B45" s="119">
        <v>6</v>
      </c>
      <c r="C45" s="120" t="s">
        <v>154</v>
      </c>
      <c r="D45" s="121" t="str">
        <f t="shared" si="4"/>
        <v>Tek. Sipil</v>
      </c>
      <c r="E45" s="120">
        <f t="shared" si="7"/>
        <v>1989</v>
      </c>
      <c r="F45" s="122">
        <f t="shared" si="5"/>
        <v>15000</v>
      </c>
      <c r="G45" s="120">
        <v>12</v>
      </c>
      <c r="H45" s="123">
        <f t="shared" si="6"/>
        <v>180000</v>
      </c>
    </row>
    <row r="46" spans="1:8" ht="20.100000000000001" customHeight="1" thickBot="1" x14ac:dyDescent="0.35">
      <c r="A46" s="223">
        <v>12</v>
      </c>
      <c r="B46" s="119">
        <v>7</v>
      </c>
      <c r="C46" s="120" t="s">
        <v>155</v>
      </c>
      <c r="D46" s="121" t="str">
        <f t="shared" si="4"/>
        <v>Hukum</v>
      </c>
      <c r="E46" s="120">
        <f t="shared" si="7"/>
        <v>1988</v>
      </c>
      <c r="F46" s="122">
        <f t="shared" si="5"/>
        <v>11000</v>
      </c>
      <c r="G46" s="120">
        <v>12</v>
      </c>
      <c r="H46" s="123">
        <f t="shared" si="6"/>
        <v>132000</v>
      </c>
    </row>
    <row r="47" spans="1:8" ht="20.100000000000001" customHeight="1" thickBot="1" x14ac:dyDescent="0.35">
      <c r="A47" s="223">
        <v>13</v>
      </c>
      <c r="B47" s="119">
        <v>8</v>
      </c>
      <c r="C47" s="120" t="s">
        <v>156</v>
      </c>
      <c r="D47" s="121" t="str">
        <f t="shared" si="4"/>
        <v>Sosial Politik</v>
      </c>
      <c r="E47" s="120">
        <f t="shared" si="7"/>
        <v>1990</v>
      </c>
      <c r="F47" s="122">
        <f t="shared" si="5"/>
        <v>12000</v>
      </c>
      <c r="G47" s="120">
        <v>20</v>
      </c>
      <c r="H47" s="123">
        <f t="shared" si="6"/>
        <v>240000</v>
      </c>
    </row>
    <row r="48" spans="1:8" ht="20.100000000000001" customHeight="1" thickBot="1" x14ac:dyDescent="0.35">
      <c r="A48" s="223">
        <v>14</v>
      </c>
      <c r="B48" s="119">
        <v>9</v>
      </c>
      <c r="C48" s="120" t="s">
        <v>157</v>
      </c>
      <c r="D48" s="121" t="str">
        <f t="shared" si="4"/>
        <v>Tek. Arsitektur</v>
      </c>
      <c r="E48" s="120">
        <f t="shared" si="7"/>
        <v>1988</v>
      </c>
      <c r="F48" s="122">
        <f t="shared" si="5"/>
        <v>16000</v>
      </c>
      <c r="G48" s="120">
        <v>14</v>
      </c>
      <c r="H48" s="123">
        <f t="shared" si="6"/>
        <v>224000</v>
      </c>
    </row>
    <row r="49" spans="1:8" ht="20.100000000000001" customHeight="1" thickBot="1" x14ac:dyDescent="0.35">
      <c r="A49" s="223">
        <v>15</v>
      </c>
      <c r="B49" s="124">
        <v>10</v>
      </c>
      <c r="C49" s="125" t="s">
        <v>158</v>
      </c>
      <c r="D49" s="126" t="str">
        <f t="shared" si="4"/>
        <v>Hukum</v>
      </c>
      <c r="E49" s="125">
        <f t="shared" si="7"/>
        <v>1987</v>
      </c>
      <c r="F49" s="127">
        <f t="shared" si="5"/>
        <v>11000</v>
      </c>
      <c r="G49" s="125">
        <v>6</v>
      </c>
      <c r="H49" s="128">
        <f t="shared" si="6"/>
        <v>66000</v>
      </c>
    </row>
    <row r="50" spans="1:8" x14ac:dyDescent="0.3">
      <c r="A50" s="229"/>
    </row>
  </sheetData>
  <mergeCells count="5">
    <mergeCell ref="B36:H36"/>
    <mergeCell ref="B37:G37"/>
    <mergeCell ref="B35:H35"/>
    <mergeCell ref="A1:C1"/>
    <mergeCell ref="A31:C31"/>
  </mergeCells>
  <phoneticPr fontId="1" type="noConversion"/>
  <printOptions horizontalCentered="1"/>
  <pageMargins left="0.39370078740157483" right="0.39370078740157483" top="0.39370078740157483" bottom="0.39370078740157483" header="0.39370078740157483" footer="0.51181102362204722"/>
  <pageSetup paperSize="9" orientation="portrait" horizontalDpi="4294967293" vertic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zoomScaleNormal="100" workbookViewId="0">
      <selection activeCell="K2" sqref="K2"/>
    </sheetView>
  </sheetViews>
  <sheetFormatPr defaultRowHeight="13.5" x14ac:dyDescent="0.3"/>
  <cols>
    <col min="1" max="1" width="4.125" style="101" customWidth="1"/>
    <col min="2" max="2" width="6.875" style="101" customWidth="1"/>
    <col min="3" max="3" width="13.125" style="101" customWidth="1"/>
    <col min="4" max="4" width="10" style="101" customWidth="1"/>
    <col min="5" max="5" width="5" style="101" customWidth="1"/>
    <col min="6" max="6" width="7" style="101" customWidth="1"/>
    <col min="7" max="7" width="16.125" style="101" bestFit="1" customWidth="1"/>
    <col min="8" max="8" width="12.5" style="101" customWidth="1"/>
    <col min="9" max="9" width="11.625" style="101" bestFit="1" customWidth="1"/>
    <col min="10" max="10" width="11.75" style="101" customWidth="1"/>
    <col min="11" max="11" width="11.375" style="101" customWidth="1"/>
    <col min="12" max="12" width="13.875" style="101" customWidth="1"/>
    <col min="13" max="13" width="12.25" style="101" customWidth="1"/>
    <col min="14" max="14" width="12.375" style="101" bestFit="1" customWidth="1"/>
    <col min="15" max="16384" width="9" style="101"/>
  </cols>
  <sheetData>
    <row r="1" spans="1:14" ht="15" customHeight="1" x14ac:dyDescent="0.3">
      <c r="A1" s="366" t="s">
        <v>373</v>
      </c>
      <c r="B1" s="366"/>
      <c r="C1" s="30"/>
      <c r="D1" s="30"/>
      <c r="E1" s="30"/>
      <c r="F1" s="30"/>
      <c r="G1" s="30"/>
    </row>
    <row r="2" spans="1:14" ht="15" x14ac:dyDescent="0.3">
      <c r="A2" s="227"/>
      <c r="B2" s="227"/>
      <c r="C2" s="228"/>
      <c r="D2" s="30"/>
      <c r="E2" s="30"/>
      <c r="F2" s="30"/>
      <c r="G2" s="30"/>
    </row>
    <row r="3" spans="1:14" ht="12.95" customHeight="1" x14ac:dyDescent="0.3">
      <c r="A3" s="383" t="s">
        <v>168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</row>
    <row r="4" spans="1:14" ht="12.95" customHeight="1" x14ac:dyDescent="0.3">
      <c r="A4" s="383" t="s">
        <v>367</v>
      </c>
      <c r="B4" s="383"/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</row>
    <row r="5" spans="1:14" ht="12.95" customHeight="1" x14ac:dyDescent="0.3">
      <c r="A5" s="383" t="s">
        <v>395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  <c r="L5" s="383"/>
      <c r="M5" s="383"/>
      <c r="N5" s="383"/>
    </row>
    <row r="6" spans="1:14" ht="9.9499999999999993" customHeight="1" thickBot="1" x14ac:dyDescent="0.35"/>
    <row r="7" spans="1:14" ht="16.5" customHeight="1" x14ac:dyDescent="0.3">
      <c r="A7" s="387" t="s">
        <v>59</v>
      </c>
      <c r="B7" s="379" t="s">
        <v>170</v>
      </c>
      <c r="C7" s="379" t="s">
        <v>171</v>
      </c>
      <c r="D7" s="379" t="s">
        <v>82</v>
      </c>
      <c r="E7" s="379" t="s">
        <v>184</v>
      </c>
      <c r="F7" s="379" t="s">
        <v>172</v>
      </c>
      <c r="G7" s="379" t="s">
        <v>79</v>
      </c>
      <c r="H7" s="379" t="s">
        <v>173</v>
      </c>
      <c r="I7" s="378" t="s">
        <v>81</v>
      </c>
      <c r="J7" s="378"/>
      <c r="K7" s="378"/>
      <c r="L7" s="379" t="s">
        <v>174</v>
      </c>
      <c r="M7" s="379" t="s">
        <v>175</v>
      </c>
      <c r="N7" s="384" t="s">
        <v>176</v>
      </c>
    </row>
    <row r="8" spans="1:14" ht="15" thickBot="1" x14ac:dyDescent="0.35">
      <c r="A8" s="388"/>
      <c r="B8" s="380"/>
      <c r="C8" s="380"/>
      <c r="D8" s="380"/>
      <c r="E8" s="380"/>
      <c r="F8" s="380"/>
      <c r="G8" s="380"/>
      <c r="H8" s="380"/>
      <c r="I8" s="150" t="s">
        <v>79</v>
      </c>
      <c r="J8" s="150" t="s">
        <v>177</v>
      </c>
      <c r="K8" s="150" t="s">
        <v>178</v>
      </c>
      <c r="L8" s="380"/>
      <c r="M8" s="380"/>
      <c r="N8" s="385"/>
    </row>
    <row r="9" spans="1:14" ht="12.95" customHeight="1" x14ac:dyDescent="0.3">
      <c r="A9" s="155">
        <v>1</v>
      </c>
      <c r="B9" s="156" t="s">
        <v>179</v>
      </c>
      <c r="C9" s="156" t="s">
        <v>124</v>
      </c>
      <c r="D9" s="157" t="str">
        <f>IF(LEFT(B9,1)="K","Kawin","Tidak Kawin")</f>
        <v>Kawin</v>
      </c>
      <c r="E9" s="157" t="str">
        <f>RIGHT(B9,1)</f>
        <v>3</v>
      </c>
      <c r="F9" s="157">
        <f>1930+MID(B9,2,2)</f>
        <v>2020</v>
      </c>
      <c r="G9" s="157" t="str">
        <f>IF(MID(B9,4,2)="AD","Presiden Administrasi",IF(MID(B9,4,2)="PD","Pres. Dir",IF(MID(B9,4,2)="KB","Ka. Bagian","Presiden Staff")))</f>
        <v>Presiden Administrasi</v>
      </c>
      <c r="H9" s="318">
        <f>IF(MID(B9,4,2)="AD",15000000,IF(MID(B9,4,2)="PD",25000000,IF(MID(B9,4,2)="KB",17000000,13000000)))</f>
        <v>15000000</v>
      </c>
      <c r="I9" s="318">
        <f>IF(E9="1",10%*H9,IF(E9="2",7%*H9,IF(E9="3",5%*H9,3%*H9)))</f>
        <v>750000</v>
      </c>
      <c r="J9" s="318">
        <f>IF(D9="Kawin",5%*H9,"-")</f>
        <v>750000</v>
      </c>
      <c r="K9" s="318">
        <f>3%*H9</f>
        <v>450000</v>
      </c>
      <c r="L9" s="318">
        <f>SUM(H9:K9)</f>
        <v>16950000</v>
      </c>
      <c r="M9" s="318">
        <f>IF(L9&gt;20000000,25%*L9,15%*L9)</f>
        <v>2542500</v>
      </c>
      <c r="N9" s="319">
        <f>L9-M9</f>
        <v>14407500</v>
      </c>
    </row>
    <row r="10" spans="1:14" ht="12.95" customHeight="1" x14ac:dyDescent="0.3">
      <c r="A10" s="152">
        <v>2</v>
      </c>
      <c r="B10" s="151" t="s">
        <v>180</v>
      </c>
      <c r="C10" s="151" t="s">
        <v>125</v>
      </c>
      <c r="D10" s="157" t="str">
        <f>IF(LEFT(B10,1)="K","Kawin","Tidak Kawin")</f>
        <v>Tidak Kawin</v>
      </c>
      <c r="E10" s="157" t="str">
        <f>RIGHT(B10,1)</f>
        <v>2</v>
      </c>
      <c r="F10" s="157">
        <f t="shared" ref="F10:F13" si="0">1930+MID(B10,2,2)</f>
        <v>2015</v>
      </c>
      <c r="G10" s="157" t="str">
        <f>IF(MID(B10,4,2)="AD","Presiden Administrasi",IF(MID(B10,4,2)="PD","Pres. Dir",IF(MID(B10,4,2)="KB","Ka. Bagian","Presiden Staff")))</f>
        <v>Ka. Bagian</v>
      </c>
      <c r="H10" s="318">
        <f t="shared" ref="H10:H13" si="1">IF(MID(B10,4,2)="AD",15000000,IF(MID(B10,4,2)="PD",25000000,IF(MID(B10,4,2)="KB",17000000,13000000)))</f>
        <v>17000000</v>
      </c>
      <c r="I10" s="318">
        <f>IF(E10="1",10%*H10,IF(E10="2",7%*H10,IF(E10="3",5%*H10,3%*H10)))</f>
        <v>1190000</v>
      </c>
      <c r="J10" s="318" t="str">
        <f>IF(D10="Kawin",5%*H10,"-")</f>
        <v>-</v>
      </c>
      <c r="K10" s="318">
        <f>3%*H10</f>
        <v>510000</v>
      </c>
      <c r="L10" s="318">
        <f>SUM(H10:K10)</f>
        <v>18700000</v>
      </c>
      <c r="M10" s="318">
        <f t="shared" ref="M10:M13" si="2">IF(L10&gt;20000000,25%*L10,15%*L10)</f>
        <v>2805000</v>
      </c>
      <c r="N10" s="319">
        <f>L10-M10</f>
        <v>15895000</v>
      </c>
    </row>
    <row r="11" spans="1:14" ht="12.95" customHeight="1" x14ac:dyDescent="0.3">
      <c r="A11" s="152">
        <v>3</v>
      </c>
      <c r="B11" s="151" t="s">
        <v>181</v>
      </c>
      <c r="C11" s="151" t="s">
        <v>126</v>
      </c>
      <c r="D11" s="157" t="str">
        <f>IF(LEFT(B11,1)="K","Kawin","Tidak Kawin")</f>
        <v>Kawin</v>
      </c>
      <c r="E11" s="157" t="str">
        <f>RIGHT(B11,1)</f>
        <v>4</v>
      </c>
      <c r="F11" s="157">
        <f t="shared" si="0"/>
        <v>2019</v>
      </c>
      <c r="G11" s="157" t="str">
        <f>IF(MID(B11,4,2)="AD","Presiden Administrasi",IF(MID(B11,4,2)="PD","Pres. Dir",IF(MID(B11,4,2)="KB","Ka. Bagian","Presiden Staff")))</f>
        <v>Presiden Staff</v>
      </c>
      <c r="H11" s="318">
        <f t="shared" si="1"/>
        <v>13000000</v>
      </c>
      <c r="I11" s="318">
        <f>IF(E11="1",10%*H11,IF(E11="2",7%*H11,IF(E11="3",5%*H11,3%*H11)))</f>
        <v>390000</v>
      </c>
      <c r="J11" s="318">
        <f>IF(D11="Kawin",5%*H11,"-")</f>
        <v>650000</v>
      </c>
      <c r="K11" s="318">
        <f>3%*H11</f>
        <v>390000</v>
      </c>
      <c r="L11" s="318">
        <f>SUM(H11:K11)</f>
        <v>14430000</v>
      </c>
      <c r="M11" s="318">
        <f t="shared" si="2"/>
        <v>2164500</v>
      </c>
      <c r="N11" s="319">
        <f>L11-M11</f>
        <v>12265500</v>
      </c>
    </row>
    <row r="12" spans="1:14" ht="12.95" customHeight="1" x14ac:dyDescent="0.3">
      <c r="A12" s="152">
        <v>4</v>
      </c>
      <c r="B12" s="151" t="s">
        <v>182</v>
      </c>
      <c r="C12" s="151" t="s">
        <v>127</v>
      </c>
      <c r="D12" s="157" t="str">
        <f>IF(LEFT(B12,1)="K","Kawin","Tidak Kawin")</f>
        <v>Kawin</v>
      </c>
      <c r="E12" s="157" t="str">
        <f>RIGHT(B12,1)</f>
        <v>3</v>
      </c>
      <c r="F12" s="157">
        <f t="shared" si="0"/>
        <v>2022</v>
      </c>
      <c r="G12" s="157" t="str">
        <f>IF(MID(B12,4,2)="AD","Presiden Administrasi",IF(MID(B12,4,2)="PD","Pres. Dir",IF(MID(B12,4,2)="KB","Ka. Bagian","Presiden Staff")))</f>
        <v>Ka. Bagian</v>
      </c>
      <c r="H12" s="318">
        <f t="shared" si="1"/>
        <v>17000000</v>
      </c>
      <c r="I12" s="318">
        <f>IF(E12="1",10%*H12,IF(E12="2",7%*H12,IF(E12="3",5%*H12,3%*H12)))</f>
        <v>850000</v>
      </c>
      <c r="J12" s="318">
        <f>IF(D12="Kawin",5%*H12,"-")</f>
        <v>850000</v>
      </c>
      <c r="K12" s="318">
        <f>3%*H12</f>
        <v>510000</v>
      </c>
      <c r="L12" s="318">
        <f>SUM(H12:K12)</f>
        <v>19210000</v>
      </c>
      <c r="M12" s="318">
        <f t="shared" si="2"/>
        <v>2881500</v>
      </c>
      <c r="N12" s="319">
        <f>L12-M12</f>
        <v>16328500</v>
      </c>
    </row>
    <row r="13" spans="1:14" ht="12.95" customHeight="1" thickBot="1" x14ac:dyDescent="0.35">
      <c r="A13" s="153">
        <v>5</v>
      </c>
      <c r="B13" s="154" t="s">
        <v>183</v>
      </c>
      <c r="C13" s="154" t="s">
        <v>128</v>
      </c>
      <c r="D13" s="157" t="str">
        <f>IF(LEFT(B13,1)="K","Kawin","Tidak Kawin")</f>
        <v>Kawin</v>
      </c>
      <c r="E13" s="157" t="str">
        <f>RIGHT(B13,1)</f>
        <v>1</v>
      </c>
      <c r="F13" s="157">
        <f t="shared" si="0"/>
        <v>2019</v>
      </c>
      <c r="G13" s="157" t="str">
        <f>IF(MID(B13,4,2)="AD","Presiden Administrasi",IF(MID(B13,4,2)="PD","Pres. Dir",IF(MID(B13,4,2)="KB","Ka. Bagian","Presiden Staff")))</f>
        <v>Pres. Dir</v>
      </c>
      <c r="H13" s="318">
        <f t="shared" si="1"/>
        <v>25000000</v>
      </c>
      <c r="I13" s="318">
        <f>IF(E13="1",10%*H13,IF(E13="2",7%*H13,IF(E13="3",5%*H13,3%*H13)))</f>
        <v>2500000</v>
      </c>
      <c r="J13" s="318">
        <f>IF(D13="Kawin",5%*H13,"-")</f>
        <v>1250000</v>
      </c>
      <c r="K13" s="318">
        <f>3%*H13</f>
        <v>750000</v>
      </c>
      <c r="L13" s="318">
        <f>SUM(H13:K13)</f>
        <v>29500000</v>
      </c>
      <c r="M13" s="318">
        <f t="shared" si="2"/>
        <v>7375000</v>
      </c>
      <c r="N13" s="319">
        <f>L13-M13</f>
        <v>22125000</v>
      </c>
    </row>
    <row r="14" spans="1:14" ht="9.9499999999999993" customHeight="1" x14ac:dyDescent="0.3"/>
    <row r="15" spans="1:14" ht="12" customHeight="1" x14ac:dyDescent="0.3">
      <c r="A15" s="105" t="s">
        <v>55</v>
      </c>
    </row>
    <row r="16" spans="1:14" ht="12" customHeight="1" x14ac:dyDescent="0.3">
      <c r="A16" s="105" t="s">
        <v>187</v>
      </c>
      <c r="H16" s="105" t="s">
        <v>195</v>
      </c>
    </row>
    <row r="17" spans="1:8" ht="12" customHeight="1" x14ac:dyDescent="0.3">
      <c r="A17" s="101" t="s">
        <v>185</v>
      </c>
      <c r="H17" s="101" t="s">
        <v>196</v>
      </c>
    </row>
    <row r="18" spans="1:8" ht="12" customHeight="1" x14ac:dyDescent="0.3">
      <c r="A18" s="101" t="s">
        <v>186</v>
      </c>
      <c r="H18" s="101" t="s">
        <v>361</v>
      </c>
    </row>
    <row r="19" spans="1:8" ht="12" customHeight="1" x14ac:dyDescent="0.3">
      <c r="A19" s="105" t="s">
        <v>188</v>
      </c>
      <c r="H19" s="101" t="s">
        <v>362</v>
      </c>
    </row>
    <row r="20" spans="1:8" ht="12" customHeight="1" x14ac:dyDescent="0.3">
      <c r="A20" s="105" t="s">
        <v>394</v>
      </c>
      <c r="H20" s="101" t="s">
        <v>363</v>
      </c>
    </row>
    <row r="21" spans="1:8" ht="12" customHeight="1" x14ac:dyDescent="0.3">
      <c r="A21" s="105" t="s">
        <v>189</v>
      </c>
      <c r="H21" s="105" t="s">
        <v>197</v>
      </c>
    </row>
    <row r="22" spans="1:8" ht="12" customHeight="1" x14ac:dyDescent="0.3">
      <c r="A22" s="101" t="s">
        <v>192</v>
      </c>
      <c r="H22" s="101" t="s">
        <v>198</v>
      </c>
    </row>
    <row r="23" spans="1:8" ht="12" customHeight="1" x14ac:dyDescent="0.3">
      <c r="A23" s="101" t="s">
        <v>190</v>
      </c>
      <c r="H23" s="101" t="s">
        <v>199</v>
      </c>
    </row>
    <row r="24" spans="1:8" ht="12" customHeight="1" x14ac:dyDescent="0.3">
      <c r="A24" s="101" t="s">
        <v>193</v>
      </c>
      <c r="H24" s="105" t="s">
        <v>200</v>
      </c>
    </row>
    <row r="25" spans="1:8" ht="12" customHeight="1" x14ac:dyDescent="0.3">
      <c r="A25" s="101" t="s">
        <v>191</v>
      </c>
      <c r="H25" s="105" t="s">
        <v>201</v>
      </c>
    </row>
    <row r="26" spans="1:8" ht="12" customHeight="1" x14ac:dyDescent="0.3">
      <c r="A26" s="105" t="s">
        <v>194</v>
      </c>
      <c r="H26" s="105" t="s">
        <v>399</v>
      </c>
    </row>
    <row r="27" spans="1:8" ht="12" customHeight="1" x14ac:dyDescent="0.3">
      <c r="A27" s="101" t="s">
        <v>390</v>
      </c>
      <c r="H27" s="105" t="s">
        <v>202</v>
      </c>
    </row>
    <row r="28" spans="1:8" ht="12" customHeight="1" x14ac:dyDescent="0.3">
      <c r="A28" s="101" t="s">
        <v>391</v>
      </c>
    </row>
    <row r="29" spans="1:8" ht="12" customHeight="1" x14ac:dyDescent="0.3">
      <c r="A29" s="101" t="s">
        <v>392</v>
      </c>
    </row>
    <row r="30" spans="1:8" ht="12" customHeight="1" x14ac:dyDescent="0.3">
      <c r="A30" s="101" t="s">
        <v>393</v>
      </c>
    </row>
    <row r="31" spans="1:8" ht="12" customHeight="1" x14ac:dyDescent="0.3"/>
    <row r="32" spans="1:8" ht="15" customHeight="1" x14ac:dyDescent="0.3"/>
    <row r="33" spans="1:14" ht="14.25" thickBot="1" x14ac:dyDescent="0.35">
      <c r="A33" s="309"/>
      <c r="B33" s="309"/>
    </row>
    <row r="34" spans="1:14" ht="14.25" thickBot="1" x14ac:dyDescent="0.35">
      <c r="A34" s="221" t="s">
        <v>331</v>
      </c>
      <c r="B34" s="221" t="s">
        <v>332</v>
      </c>
      <c r="C34" s="221" t="s">
        <v>333</v>
      </c>
      <c r="D34" s="221" t="s">
        <v>85</v>
      </c>
      <c r="E34" s="221" t="s">
        <v>334</v>
      </c>
      <c r="F34" s="221" t="s">
        <v>335</v>
      </c>
      <c r="G34" s="221" t="s">
        <v>338</v>
      </c>
      <c r="H34" s="221" t="s">
        <v>339</v>
      </c>
      <c r="I34" s="221" t="s">
        <v>288</v>
      </c>
      <c r="J34" s="221" t="s">
        <v>343</v>
      </c>
      <c r="K34" s="221" t="s">
        <v>89</v>
      </c>
      <c r="L34" s="221" t="s">
        <v>346</v>
      </c>
      <c r="M34" s="221" t="s">
        <v>347</v>
      </c>
      <c r="N34" s="221" t="s">
        <v>348</v>
      </c>
    </row>
    <row r="35" spans="1:14" ht="16.5" x14ac:dyDescent="0.3">
      <c r="A35" s="326" t="s">
        <v>168</v>
      </c>
      <c r="B35" s="327"/>
      <c r="C35" s="327"/>
      <c r="D35" s="327"/>
      <c r="E35" s="327"/>
      <c r="F35" s="327"/>
      <c r="G35" s="327"/>
      <c r="H35" s="327"/>
      <c r="I35" s="327"/>
      <c r="J35" s="327"/>
      <c r="K35" s="327"/>
      <c r="L35" s="327"/>
      <c r="M35" s="327"/>
      <c r="N35" s="328"/>
    </row>
    <row r="36" spans="1:14" ht="16.5" x14ac:dyDescent="0.3">
      <c r="A36" s="386" t="s">
        <v>367</v>
      </c>
      <c r="B36" s="362"/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3"/>
    </row>
    <row r="37" spans="1:14" ht="17.25" thickBot="1" x14ac:dyDescent="0.35">
      <c r="A37" s="329" t="s">
        <v>359</v>
      </c>
      <c r="B37" s="330"/>
      <c r="C37" s="330"/>
      <c r="D37" s="330"/>
      <c r="E37" s="330"/>
      <c r="F37" s="330"/>
      <c r="G37" s="330"/>
      <c r="H37" s="330"/>
      <c r="I37" s="330"/>
      <c r="J37" s="330"/>
      <c r="K37" s="330"/>
      <c r="L37" s="330"/>
      <c r="M37" s="330"/>
      <c r="N37" s="331"/>
    </row>
    <row r="38" spans="1:14" ht="14.25" thickBot="1" x14ac:dyDescent="0.35"/>
    <row r="39" spans="1:14" ht="14.25" x14ac:dyDescent="0.3">
      <c r="A39" s="381" t="s">
        <v>59</v>
      </c>
      <c r="B39" s="379" t="s">
        <v>170</v>
      </c>
      <c r="C39" s="379" t="s">
        <v>171</v>
      </c>
      <c r="D39" s="379" t="s">
        <v>82</v>
      </c>
      <c r="E39" s="379" t="s">
        <v>184</v>
      </c>
      <c r="F39" s="379" t="s">
        <v>172</v>
      </c>
      <c r="G39" s="379" t="s">
        <v>79</v>
      </c>
      <c r="H39" s="379" t="s">
        <v>173</v>
      </c>
      <c r="I39" s="378" t="s">
        <v>81</v>
      </c>
      <c r="J39" s="378"/>
      <c r="K39" s="378"/>
      <c r="L39" s="379" t="s">
        <v>174</v>
      </c>
      <c r="M39" s="379" t="s">
        <v>175</v>
      </c>
      <c r="N39" s="384" t="s">
        <v>176</v>
      </c>
    </row>
    <row r="40" spans="1:14" ht="15" thickBot="1" x14ac:dyDescent="0.35">
      <c r="A40" s="382"/>
      <c r="B40" s="380"/>
      <c r="C40" s="380"/>
      <c r="D40" s="380"/>
      <c r="E40" s="380"/>
      <c r="F40" s="380"/>
      <c r="G40" s="380"/>
      <c r="H40" s="380"/>
      <c r="I40" s="150" t="s">
        <v>79</v>
      </c>
      <c r="J40" s="150" t="s">
        <v>177</v>
      </c>
      <c r="K40" s="150" t="s">
        <v>178</v>
      </c>
      <c r="L40" s="380"/>
      <c r="M40" s="380"/>
      <c r="N40" s="385"/>
    </row>
    <row r="41" spans="1:14" ht="15" customHeight="1" x14ac:dyDescent="0.3">
      <c r="A41" s="144">
        <v>1</v>
      </c>
      <c r="B41" s="145" t="s">
        <v>179</v>
      </c>
      <c r="C41" s="145" t="s">
        <v>124</v>
      </c>
      <c r="D41" s="145" t="str">
        <f>IF(LEFT(B41,1)="K","Kawin","Tidak Kawin")</f>
        <v>Kawin</v>
      </c>
      <c r="E41" s="146" t="str">
        <f>(RIGHT(B41,1))</f>
        <v>3</v>
      </c>
      <c r="F41" s="146">
        <f>(MID(B41,2,2)+1900)</f>
        <v>1990</v>
      </c>
      <c r="G41" s="143" t="str">
        <f>IF(MID(B41,4,2)="PD","Pres. Dir.",IF(MID(B41,4,2)="KB","Ka. Bag",IF(MID(B41,4,2)="AD","Administrasi","Staff")))</f>
        <v>Administrasi</v>
      </c>
      <c r="H41" s="147">
        <f>IF(MID(B41,4,2)="PD",150000,IF(MID(B41,4,2)="KB",750000,IF(MID(B41,4,2)="AD",600000,500000)))</f>
        <v>600000</v>
      </c>
      <c r="I41" s="147">
        <f>IF(RIGHT(B41,1)=1,10%*H41,IF(RIGHT(B41,1)=2,7%*H41,IF(RIGHT(B41,1)=3,5%*H41,3%*H41)))</f>
        <v>18000</v>
      </c>
      <c r="J41" s="147">
        <f>IF(LEFT(B41,1)="K",5%*H41,"-")</f>
        <v>30000</v>
      </c>
      <c r="K41" s="148">
        <f>H41*3%</f>
        <v>18000</v>
      </c>
      <c r="L41" s="148">
        <f>H41+I41+J41+K41</f>
        <v>666000</v>
      </c>
      <c r="M41" s="148">
        <f>10%*H41</f>
        <v>60000</v>
      </c>
      <c r="N41" s="149">
        <f>L41-M41</f>
        <v>606000</v>
      </c>
    </row>
    <row r="42" spans="1:14" ht="15" customHeight="1" x14ac:dyDescent="0.3">
      <c r="A42" s="131">
        <v>2</v>
      </c>
      <c r="B42" s="132" t="s">
        <v>180</v>
      </c>
      <c r="C42" s="132" t="s">
        <v>125</v>
      </c>
      <c r="D42" s="132" t="str">
        <f>IF(LEFT(B42,1)="K","Kawin","Tidak Kawin")</f>
        <v>Tidak Kawin</v>
      </c>
      <c r="E42" s="133" t="str">
        <f>(RIGHT(B42,1))</f>
        <v>2</v>
      </c>
      <c r="F42" s="133">
        <f>(MID(B42,2,2)+1900)</f>
        <v>1985</v>
      </c>
      <c r="G42" s="145" t="str">
        <f>IF(MID(B42,4,2)="PD","Pres. Dir.",IF(MID(B42,4,2)="KB","Ka. Bag",IF(MID(B42,4,2)="AD","Administrasi","Staff")))</f>
        <v>Ka. Bag</v>
      </c>
      <c r="H42" s="134">
        <f>IF(MID(B42,4,2)="PD",150000,IF(MID(B42,4,2)="KB",750000,IF(MID(B42,4,2)="AD",600000,500000)))</f>
        <v>750000</v>
      </c>
      <c r="I42" s="134">
        <f>IF(RIGHT(B42,1)=1,10%*H42,IF(RIGHT(B42,1)=2,7%*H42,IF(RIGHT(B42,1)=3,5%*H42,3%*H42)))</f>
        <v>22500</v>
      </c>
      <c r="J42" s="134" t="str">
        <f>IF(LEFT(B42,1)="K",5%*H42,"-")</f>
        <v>-</v>
      </c>
      <c r="K42" s="135">
        <f>H42*3%</f>
        <v>22500</v>
      </c>
      <c r="L42" s="135">
        <f>H42+I42+K42</f>
        <v>795000</v>
      </c>
      <c r="M42" s="135">
        <f>10%*H42</f>
        <v>75000</v>
      </c>
      <c r="N42" s="136">
        <f>L42-M42</f>
        <v>720000</v>
      </c>
    </row>
    <row r="43" spans="1:14" ht="15" customHeight="1" x14ac:dyDescent="0.3">
      <c r="A43" s="131">
        <v>3</v>
      </c>
      <c r="B43" s="132" t="s">
        <v>181</v>
      </c>
      <c r="C43" s="132" t="s">
        <v>126</v>
      </c>
      <c r="D43" s="132" t="str">
        <f>IF(LEFT(B43,1)="K","Kawin","Tidak Kawin")</f>
        <v>Kawin</v>
      </c>
      <c r="E43" s="133" t="str">
        <f>(RIGHT(B43,1))</f>
        <v>4</v>
      </c>
      <c r="F43" s="133">
        <f>(MID(B43,2,2)+1900)</f>
        <v>1989</v>
      </c>
      <c r="G43" s="145" t="str">
        <f>IF(MID(B43,4,2)="PD","Pres. Dir.",IF(MID(B43,4,2)="KB","Ka. Bag",IF(MID(B43,4,2)="AD","Administrasi","Staff")))</f>
        <v>Staff</v>
      </c>
      <c r="H43" s="134">
        <f>IF(MID(B43,4,2)="PD",150000,IF(MID(B43,4,2)="KB",750000,IF(MID(B43,4,2)="AD",600000,500000)))</f>
        <v>500000</v>
      </c>
      <c r="I43" s="134">
        <f>IF(RIGHT(B43,1)=1,10%*H43,IF(RIGHT(B43,1)=2,7%*H43,IF(RIGHT(B43,1)=3,5%*H43,3%*H43)))</f>
        <v>15000</v>
      </c>
      <c r="J43" s="134">
        <f>IF(LEFT(B43,1)="K",5%*H43,"-")</f>
        <v>25000</v>
      </c>
      <c r="K43" s="135">
        <f>H43*3%</f>
        <v>15000</v>
      </c>
      <c r="L43" s="135">
        <f>H43+I43+J43+K43</f>
        <v>555000</v>
      </c>
      <c r="M43" s="135">
        <f>10%*H43</f>
        <v>50000</v>
      </c>
      <c r="N43" s="136">
        <f>L43-M43</f>
        <v>505000</v>
      </c>
    </row>
    <row r="44" spans="1:14" ht="15" customHeight="1" x14ac:dyDescent="0.3">
      <c r="A44" s="131">
        <v>4</v>
      </c>
      <c r="B44" s="132" t="s">
        <v>182</v>
      </c>
      <c r="C44" s="132" t="s">
        <v>127</v>
      </c>
      <c r="D44" s="132" t="str">
        <f>IF(LEFT(B44,1)="K","Kawin","Tidak Kawin")</f>
        <v>Kawin</v>
      </c>
      <c r="E44" s="133" t="str">
        <f>(RIGHT(B44,1))</f>
        <v>3</v>
      </c>
      <c r="F44" s="133">
        <f>(MID(B44,2,2)+1900)</f>
        <v>1992</v>
      </c>
      <c r="G44" s="145" t="str">
        <f>IF(MID(B44,4,2)="PD","Pres. Dir.",IF(MID(B44,4,2)="KB","Ka. Bag",IF(MID(B44,4,2)="AD","Administrasi","Staff")))</f>
        <v>Ka. Bag</v>
      </c>
      <c r="H44" s="134">
        <f>IF(MID(B44,4,2)="PD",150000,IF(MID(B44,4,2)="KB",750000,IF(MID(B44,4,2)="AD",600000,500000)))</f>
        <v>750000</v>
      </c>
      <c r="I44" s="134">
        <f>IF(RIGHT(B44,1)=1,10%*H44,IF(RIGHT(B44,1)=2,7%*H44,IF(RIGHT(B44,1)=3,5%*H44,3%*H44)))</f>
        <v>22500</v>
      </c>
      <c r="J44" s="134">
        <f>IF(LEFT(B44,1)="K",5%*H44,"-")</f>
        <v>37500</v>
      </c>
      <c r="K44" s="135">
        <f>H44*3%</f>
        <v>22500</v>
      </c>
      <c r="L44" s="135">
        <f>H44+I44+J44+K44</f>
        <v>832500</v>
      </c>
      <c r="M44" s="135">
        <f>10%*H44</f>
        <v>75000</v>
      </c>
      <c r="N44" s="136">
        <f>L44-M44</f>
        <v>757500</v>
      </c>
    </row>
    <row r="45" spans="1:14" ht="15" customHeight="1" thickBot="1" x14ac:dyDescent="0.35">
      <c r="A45" s="137">
        <v>5</v>
      </c>
      <c r="B45" s="138" t="s">
        <v>183</v>
      </c>
      <c r="C45" s="138" t="s">
        <v>128</v>
      </c>
      <c r="D45" s="138" t="str">
        <f>IF(LEFT(B45,1)="K","Kawin","Tidak Kawin")</f>
        <v>Kawin</v>
      </c>
      <c r="E45" s="139" t="str">
        <f>(RIGHT(B45,1))</f>
        <v>1</v>
      </c>
      <c r="F45" s="139">
        <f>(MID(B45,2,2)+1900)</f>
        <v>1989</v>
      </c>
      <c r="G45" s="93" t="str">
        <f>IF(MID(B45,4,2)="PD","Pres. Dir.",IF(MID(B45,4,2)="KB","Ka. Bag",IF(MID(B45,4,2)="AD","Administrasi","Staff")))</f>
        <v>Pres. Dir.</v>
      </c>
      <c r="H45" s="140">
        <f>IF(MID(B45,4,2)="PD",150000,IF(MID(B45,4,2)="KB",750000,IF(MID(B45,4,2)="AD",600000,500000)))</f>
        <v>150000</v>
      </c>
      <c r="I45" s="140">
        <f>IF(RIGHT(B45,1)=1,10%*H45,IF(RIGHT(B45,1)=2,7%*H45,IF(RIGHT(B45,1)=3,5%*H45,3%*H45)))</f>
        <v>4500</v>
      </c>
      <c r="J45" s="140">
        <f>IF(LEFT(B45,1)="K",5%*H45,"-")</f>
        <v>7500</v>
      </c>
      <c r="K45" s="141">
        <f>H45*3%</f>
        <v>4500</v>
      </c>
      <c r="L45" s="141">
        <f>H45+I45+J45+K45</f>
        <v>166500</v>
      </c>
      <c r="M45" s="141">
        <f>10%*H45</f>
        <v>15000</v>
      </c>
      <c r="N45" s="142">
        <f>L45-M45</f>
        <v>151500</v>
      </c>
    </row>
  </sheetData>
  <mergeCells count="31">
    <mergeCell ref="A5:N5"/>
    <mergeCell ref="A7:A8"/>
    <mergeCell ref="B7:B8"/>
    <mergeCell ref="C7:C8"/>
    <mergeCell ref="D7:D8"/>
    <mergeCell ref="E7:E8"/>
    <mergeCell ref="F7:F8"/>
    <mergeCell ref="G7:G8"/>
    <mergeCell ref="N7:N8"/>
    <mergeCell ref="A36:N36"/>
    <mergeCell ref="A37:N37"/>
    <mergeCell ref="H7:H8"/>
    <mergeCell ref="I7:K7"/>
    <mergeCell ref="L7:L8"/>
    <mergeCell ref="M7:M8"/>
    <mergeCell ref="A1:B1"/>
    <mergeCell ref="I39:K39"/>
    <mergeCell ref="L39:L40"/>
    <mergeCell ref="A39:A40"/>
    <mergeCell ref="B39:B40"/>
    <mergeCell ref="C39:C40"/>
    <mergeCell ref="D39:D40"/>
    <mergeCell ref="A3:N3"/>
    <mergeCell ref="A4:N4"/>
    <mergeCell ref="M39:M40"/>
    <mergeCell ref="N39:N40"/>
    <mergeCell ref="E39:E40"/>
    <mergeCell ref="F39:F40"/>
    <mergeCell ref="G39:G40"/>
    <mergeCell ref="H39:H40"/>
    <mergeCell ref="A35:N35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4294967293" vertic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J18" sqref="J18"/>
    </sheetView>
  </sheetViews>
  <sheetFormatPr defaultColWidth="6.5" defaultRowHeight="13.5" x14ac:dyDescent="0.3"/>
  <cols>
    <col min="1" max="1" width="4.625" style="30" customWidth="1"/>
    <col min="2" max="2" width="13.875" style="30" customWidth="1"/>
    <col min="3" max="3" width="10.25" style="30" customWidth="1"/>
    <col min="4" max="4" width="6.5" style="30" customWidth="1"/>
    <col min="5" max="5" width="11.125" style="30" customWidth="1"/>
    <col min="6" max="6" width="8.125" style="30" customWidth="1"/>
    <col min="7" max="7" width="11.5" style="30" customWidth="1"/>
    <col min="8" max="9" width="13.125" style="30" bestFit="1" customWidth="1"/>
    <col min="10" max="10" width="14" style="30" bestFit="1" customWidth="1"/>
    <col min="11" max="16384" width="6.5" style="30"/>
  </cols>
  <sheetData>
    <row r="1" spans="1:10" ht="15.75" thickBot="1" x14ac:dyDescent="0.35">
      <c r="A1" s="324" t="s">
        <v>372</v>
      </c>
      <c r="B1" s="325"/>
      <c r="H1" s="101"/>
      <c r="I1" s="101"/>
      <c r="J1" s="101"/>
    </row>
    <row r="2" spans="1:10" ht="15" x14ac:dyDescent="0.3">
      <c r="A2" s="227"/>
      <c r="B2" s="227"/>
      <c r="C2" s="228"/>
      <c r="H2" s="101"/>
      <c r="I2" s="101"/>
      <c r="J2" s="101"/>
    </row>
    <row r="3" spans="1:10" ht="12.95" customHeight="1" x14ac:dyDescent="0.3">
      <c r="A3" s="389" t="s">
        <v>203</v>
      </c>
      <c r="B3" s="389"/>
      <c r="C3" s="389"/>
      <c r="D3" s="389"/>
      <c r="E3" s="389"/>
      <c r="F3" s="389"/>
      <c r="G3" s="389"/>
      <c r="H3" s="389"/>
      <c r="I3" s="389"/>
      <c r="J3" s="389"/>
    </row>
    <row r="4" spans="1:10" ht="12.95" customHeight="1" x14ac:dyDescent="0.3">
      <c r="A4" s="389" t="s">
        <v>366</v>
      </c>
      <c r="B4" s="389"/>
      <c r="C4" s="389"/>
      <c r="D4" s="389"/>
      <c r="E4" s="389"/>
      <c r="F4" s="389"/>
      <c r="G4" s="389"/>
      <c r="H4" s="389"/>
      <c r="I4" s="389"/>
      <c r="J4" s="389"/>
    </row>
    <row r="5" spans="1:10" ht="9.9499999999999993" customHeight="1" thickBot="1" x14ac:dyDescent="0.35"/>
    <row r="6" spans="1:10" ht="35.25" customHeight="1" thickBot="1" x14ac:dyDescent="0.35">
      <c r="A6" s="1" t="s">
        <v>2</v>
      </c>
      <c r="B6" s="2" t="s">
        <v>204</v>
      </c>
      <c r="C6" s="2" t="s">
        <v>184</v>
      </c>
      <c r="D6" s="2" t="s">
        <v>82</v>
      </c>
      <c r="E6" s="298" t="s">
        <v>83</v>
      </c>
      <c r="F6" s="2" t="s">
        <v>205</v>
      </c>
      <c r="G6" s="2" t="s">
        <v>173</v>
      </c>
      <c r="H6" s="2" t="s">
        <v>206</v>
      </c>
      <c r="I6" s="2" t="s">
        <v>207</v>
      </c>
      <c r="J6" s="3" t="s">
        <v>208</v>
      </c>
    </row>
    <row r="7" spans="1:10" ht="12.95" customHeight="1" thickBot="1" x14ac:dyDescent="0.35">
      <c r="A7" s="56">
        <v>1</v>
      </c>
      <c r="B7" s="57" t="s">
        <v>124</v>
      </c>
      <c r="C7" s="72">
        <v>2</v>
      </c>
      <c r="D7" s="72" t="s">
        <v>89</v>
      </c>
      <c r="E7" s="39" t="str">
        <f>IF(D7="K","Kawin","Tidak Kawin")</f>
        <v>Kawin</v>
      </c>
      <c r="F7" s="72">
        <v>2</v>
      </c>
      <c r="G7" s="299">
        <f>VLOOKUP(C7,$A$16:$C$19,2,0)</f>
        <v>7000000</v>
      </c>
      <c r="H7" s="317">
        <f>IF(F7&gt;0,F7*VLOOKUP(C7,$A$16:$C$19,3,FALSE),"-")</f>
        <v>700000</v>
      </c>
      <c r="I7" s="317">
        <f>IF(D7="K",HLOOKUP(C7,$E$18:$H$19,2,FALSE)*G7,"-")</f>
        <v>1610000</v>
      </c>
      <c r="J7" s="317">
        <f>SUM(G7:I7)</f>
        <v>9310000</v>
      </c>
    </row>
    <row r="8" spans="1:10" ht="12.95" customHeight="1" thickBot="1" x14ac:dyDescent="0.35">
      <c r="A8" s="25">
        <v>2</v>
      </c>
      <c r="B8" s="39" t="s">
        <v>125</v>
      </c>
      <c r="C8" s="15">
        <v>2</v>
      </c>
      <c r="D8" s="15" t="s">
        <v>86</v>
      </c>
      <c r="E8" s="39" t="str">
        <f t="shared" ref="E8:E13" si="0">IF(D8="K","Kawin","Tidak Kawin")</f>
        <v>Tidak Kawin</v>
      </c>
      <c r="F8" s="15">
        <v>0</v>
      </c>
      <c r="G8" s="299">
        <f t="shared" ref="G8:G13" si="1">VLOOKUP(C8,$A$16:$C$19,2,0)</f>
        <v>7000000</v>
      </c>
      <c r="H8" s="317" t="str">
        <f t="shared" ref="H8:H13" si="2">IF(F8&gt;0,F8*VLOOKUP(C8,$A$16:$C$19,3,FALSE),"-")</f>
        <v>-</v>
      </c>
      <c r="I8" s="317" t="str">
        <f t="shared" ref="I8:I13" si="3">IF(D8="K",HLOOKUP(C8,$E$18:$H$19,2,FALSE)*G8,"-")</f>
        <v>-</v>
      </c>
      <c r="J8" s="317">
        <f t="shared" ref="J8:J13" si="4">SUM(G8:I8)</f>
        <v>7000000</v>
      </c>
    </row>
    <row r="9" spans="1:10" ht="12.95" customHeight="1" thickBot="1" x14ac:dyDescent="0.35">
      <c r="A9" s="25">
        <v>3</v>
      </c>
      <c r="B9" s="39" t="s">
        <v>126</v>
      </c>
      <c r="C9" s="15">
        <v>1</v>
      </c>
      <c r="D9" s="15" t="s">
        <v>89</v>
      </c>
      <c r="E9" s="39" t="str">
        <f t="shared" si="0"/>
        <v>Kawin</v>
      </c>
      <c r="F9" s="15">
        <v>0</v>
      </c>
      <c r="G9" s="299">
        <f t="shared" si="1"/>
        <v>5500000</v>
      </c>
      <c r="H9" s="317" t="str">
        <f t="shared" si="2"/>
        <v>-</v>
      </c>
      <c r="I9" s="317">
        <f t="shared" si="3"/>
        <v>1100000</v>
      </c>
      <c r="J9" s="317">
        <f t="shared" si="4"/>
        <v>6600000</v>
      </c>
    </row>
    <row r="10" spans="1:10" ht="12.95" customHeight="1" thickBot="1" x14ac:dyDescent="0.35">
      <c r="A10" s="25">
        <v>4</v>
      </c>
      <c r="B10" s="39" t="s">
        <v>127</v>
      </c>
      <c r="C10" s="15">
        <v>3</v>
      </c>
      <c r="D10" s="15" t="s">
        <v>89</v>
      </c>
      <c r="E10" s="39" t="str">
        <f t="shared" si="0"/>
        <v>Kawin</v>
      </c>
      <c r="F10" s="15">
        <v>1</v>
      </c>
      <c r="G10" s="299">
        <f t="shared" si="1"/>
        <v>10000000</v>
      </c>
      <c r="H10" s="317">
        <f t="shared" si="2"/>
        <v>500000</v>
      </c>
      <c r="I10" s="317">
        <f t="shared" si="3"/>
        <v>2500000</v>
      </c>
      <c r="J10" s="317">
        <f t="shared" si="4"/>
        <v>13000000</v>
      </c>
    </row>
    <row r="11" spans="1:10" ht="12.95" customHeight="1" thickBot="1" x14ac:dyDescent="0.35">
      <c r="A11" s="25">
        <v>5</v>
      </c>
      <c r="B11" s="39" t="s">
        <v>128</v>
      </c>
      <c r="C11" s="15">
        <v>3</v>
      </c>
      <c r="D11" s="15" t="s">
        <v>89</v>
      </c>
      <c r="E11" s="39" t="str">
        <f t="shared" si="0"/>
        <v>Kawin</v>
      </c>
      <c r="F11" s="15">
        <v>3</v>
      </c>
      <c r="G11" s="299">
        <f t="shared" si="1"/>
        <v>10000000</v>
      </c>
      <c r="H11" s="317">
        <f t="shared" si="2"/>
        <v>1500000</v>
      </c>
      <c r="I11" s="317">
        <f t="shared" si="3"/>
        <v>2500000</v>
      </c>
      <c r="J11" s="317">
        <f t="shared" si="4"/>
        <v>14000000</v>
      </c>
    </row>
    <row r="12" spans="1:10" ht="12.95" customHeight="1" thickBot="1" x14ac:dyDescent="0.35">
      <c r="A12" s="25">
        <v>6</v>
      </c>
      <c r="B12" s="39" t="s">
        <v>131</v>
      </c>
      <c r="C12" s="15">
        <v>1</v>
      </c>
      <c r="D12" s="15" t="s">
        <v>86</v>
      </c>
      <c r="E12" s="39" t="str">
        <f t="shared" si="0"/>
        <v>Tidak Kawin</v>
      </c>
      <c r="F12" s="15">
        <v>0</v>
      </c>
      <c r="G12" s="299">
        <f t="shared" si="1"/>
        <v>5500000</v>
      </c>
      <c r="H12" s="317" t="str">
        <f t="shared" si="2"/>
        <v>-</v>
      </c>
      <c r="I12" s="317" t="str">
        <f t="shared" si="3"/>
        <v>-</v>
      </c>
      <c r="J12" s="317">
        <f t="shared" si="4"/>
        <v>5500000</v>
      </c>
    </row>
    <row r="13" spans="1:10" ht="12.95" customHeight="1" thickBot="1" x14ac:dyDescent="0.35">
      <c r="A13" s="27">
        <v>7</v>
      </c>
      <c r="B13" s="65" t="s">
        <v>130</v>
      </c>
      <c r="C13" s="18">
        <v>2</v>
      </c>
      <c r="D13" s="18" t="s">
        <v>89</v>
      </c>
      <c r="E13" s="39" t="str">
        <f t="shared" si="0"/>
        <v>Kawin</v>
      </c>
      <c r="F13" s="18">
        <v>0</v>
      </c>
      <c r="G13" s="299">
        <f t="shared" si="1"/>
        <v>7000000</v>
      </c>
      <c r="H13" s="317" t="str">
        <f t="shared" si="2"/>
        <v>-</v>
      </c>
      <c r="I13" s="317">
        <f t="shared" si="3"/>
        <v>1610000</v>
      </c>
      <c r="J13" s="317">
        <f t="shared" si="4"/>
        <v>8610000</v>
      </c>
    </row>
    <row r="14" spans="1:10" ht="9.9499999999999993" customHeight="1" x14ac:dyDescent="0.3"/>
    <row r="15" spans="1:10" ht="12.95" customHeight="1" thickBot="1" x14ac:dyDescent="0.35">
      <c r="A15" s="32" t="s">
        <v>209</v>
      </c>
      <c r="B15" s="32"/>
      <c r="C15" s="32"/>
    </row>
    <row r="16" spans="1:10" ht="28.5" customHeight="1" thickBot="1" x14ac:dyDescent="0.35">
      <c r="A16" s="1" t="s">
        <v>184</v>
      </c>
      <c r="B16" s="2" t="s">
        <v>173</v>
      </c>
      <c r="C16" s="3" t="s">
        <v>206</v>
      </c>
    </row>
    <row r="17" spans="1:10" ht="12.95" customHeight="1" thickBot="1" x14ac:dyDescent="0.35">
      <c r="A17" s="56">
        <v>1</v>
      </c>
      <c r="B17" s="165">
        <v>5500000</v>
      </c>
      <c r="C17" s="167">
        <v>200000</v>
      </c>
      <c r="E17" s="32" t="s">
        <v>210</v>
      </c>
    </row>
    <row r="18" spans="1:10" ht="12.95" customHeight="1" x14ac:dyDescent="0.3">
      <c r="A18" s="25">
        <v>2</v>
      </c>
      <c r="B18" s="166">
        <v>7000000</v>
      </c>
      <c r="C18" s="168">
        <v>350000</v>
      </c>
      <c r="E18" s="171" t="s">
        <v>184</v>
      </c>
      <c r="F18" s="72">
        <v>1</v>
      </c>
      <c r="G18" s="72">
        <v>2</v>
      </c>
      <c r="H18" s="160">
        <v>3</v>
      </c>
    </row>
    <row r="19" spans="1:10" ht="12.95" customHeight="1" thickBot="1" x14ac:dyDescent="0.35">
      <c r="A19" s="27">
        <v>3</v>
      </c>
      <c r="B19" s="169">
        <v>10000000</v>
      </c>
      <c r="C19" s="170">
        <v>500000</v>
      </c>
      <c r="E19" s="172" t="s">
        <v>211</v>
      </c>
      <c r="F19" s="173">
        <v>0.2</v>
      </c>
      <c r="G19" s="173">
        <v>0.23</v>
      </c>
      <c r="H19" s="174">
        <v>0.25</v>
      </c>
    </row>
    <row r="20" spans="1:10" ht="9.9499999999999993" customHeight="1" x14ac:dyDescent="0.3"/>
    <row r="21" spans="1:10" ht="12" customHeight="1" x14ac:dyDescent="0.3">
      <c r="A21" s="105" t="s">
        <v>55</v>
      </c>
      <c r="B21" s="101"/>
      <c r="C21" s="101"/>
      <c r="D21" s="101"/>
      <c r="E21" s="101"/>
      <c r="F21" s="101"/>
      <c r="G21" s="101"/>
    </row>
    <row r="22" spans="1:10" ht="12" customHeight="1" x14ac:dyDescent="0.3">
      <c r="A22" s="101"/>
      <c r="B22" s="105" t="s">
        <v>102</v>
      </c>
      <c r="C22" s="101"/>
      <c r="D22" s="101"/>
      <c r="E22" s="101"/>
      <c r="F22" s="101"/>
      <c r="G22" s="105" t="s">
        <v>197</v>
      </c>
    </row>
    <row r="23" spans="1:10" ht="12" customHeight="1" x14ac:dyDescent="0.3">
      <c r="A23" s="101"/>
      <c r="B23" s="101" t="s">
        <v>212</v>
      </c>
      <c r="C23" s="101"/>
      <c r="D23" s="101"/>
      <c r="E23" s="101"/>
      <c r="F23" s="101"/>
      <c r="G23" s="101" t="s">
        <v>217</v>
      </c>
    </row>
    <row r="24" spans="1:10" ht="12" customHeight="1" x14ac:dyDescent="0.3">
      <c r="A24" s="101"/>
      <c r="B24" s="101" t="s">
        <v>213</v>
      </c>
      <c r="C24" s="101"/>
      <c r="D24" s="101"/>
      <c r="E24" s="101"/>
      <c r="F24" s="101"/>
      <c r="G24" s="101" t="s">
        <v>218</v>
      </c>
    </row>
    <row r="25" spans="1:10" ht="12" customHeight="1" x14ac:dyDescent="0.3">
      <c r="A25" s="101"/>
      <c r="B25" s="105" t="s">
        <v>260</v>
      </c>
      <c r="C25" s="101"/>
      <c r="D25" s="101"/>
      <c r="E25" s="101"/>
      <c r="F25" s="101"/>
      <c r="G25" s="105" t="s">
        <v>219</v>
      </c>
    </row>
    <row r="26" spans="1:10" ht="12" customHeight="1" x14ac:dyDescent="0.3">
      <c r="A26" s="101"/>
      <c r="B26" s="105" t="s">
        <v>214</v>
      </c>
      <c r="C26" s="101"/>
      <c r="D26" s="101"/>
      <c r="E26" s="101"/>
      <c r="F26" s="101"/>
      <c r="G26" s="101" t="s">
        <v>220</v>
      </c>
    </row>
    <row r="27" spans="1:10" ht="12" customHeight="1" x14ac:dyDescent="0.3">
      <c r="A27" s="101"/>
      <c r="B27" s="101" t="s">
        <v>215</v>
      </c>
      <c r="C27" s="101"/>
      <c r="D27" s="101"/>
      <c r="E27" s="101"/>
      <c r="F27" s="101"/>
      <c r="G27" s="101"/>
    </row>
    <row r="28" spans="1:10" ht="12" customHeight="1" x14ac:dyDescent="0.3">
      <c r="A28" s="101"/>
      <c r="B28" s="101" t="s">
        <v>216</v>
      </c>
      <c r="C28" s="101"/>
      <c r="D28" s="101"/>
      <c r="E28" s="101"/>
      <c r="F28" s="101"/>
      <c r="G28" s="101"/>
    </row>
    <row r="29" spans="1:10" ht="12" customHeight="1" thickBot="1" x14ac:dyDescent="0.35">
      <c r="A29" s="101"/>
      <c r="B29" s="101"/>
      <c r="C29" s="101"/>
      <c r="D29" s="101"/>
      <c r="E29" s="101"/>
      <c r="F29" s="101"/>
      <c r="G29" s="101"/>
    </row>
    <row r="30" spans="1:10" ht="14.25" thickBot="1" x14ac:dyDescent="0.35">
      <c r="A30" s="221" t="s">
        <v>331</v>
      </c>
      <c r="B30" s="221" t="s">
        <v>332</v>
      </c>
      <c r="C30" s="221" t="s">
        <v>333</v>
      </c>
      <c r="D30" s="221" t="s">
        <v>85</v>
      </c>
      <c r="E30" s="221" t="s">
        <v>334</v>
      </c>
      <c r="F30" s="221" t="s">
        <v>335</v>
      </c>
      <c r="G30" s="221" t="s">
        <v>338</v>
      </c>
      <c r="H30" s="221" t="s">
        <v>339</v>
      </c>
      <c r="I30" s="221" t="s">
        <v>288</v>
      </c>
      <c r="J30" s="221" t="s">
        <v>343</v>
      </c>
    </row>
    <row r="31" spans="1:10" ht="16.5" x14ac:dyDescent="0.3">
      <c r="A31" s="326" t="s">
        <v>203</v>
      </c>
      <c r="B31" s="327"/>
      <c r="C31" s="327"/>
      <c r="D31" s="327"/>
      <c r="E31" s="327"/>
      <c r="F31" s="327"/>
      <c r="G31" s="327"/>
      <c r="H31" s="327"/>
      <c r="I31" s="327"/>
      <c r="J31" s="328"/>
    </row>
    <row r="32" spans="1:10" ht="17.25" thickBot="1" x14ac:dyDescent="0.35">
      <c r="A32" s="329" t="s">
        <v>169</v>
      </c>
      <c r="B32" s="330"/>
      <c r="C32" s="330"/>
      <c r="D32" s="330"/>
      <c r="E32" s="330"/>
      <c r="F32" s="330"/>
      <c r="G32" s="330"/>
      <c r="H32" s="330"/>
      <c r="I32" s="330"/>
      <c r="J32" s="331"/>
    </row>
    <row r="33" spans="1:10" ht="14.25" thickBot="1" x14ac:dyDescent="0.35"/>
    <row r="34" spans="1:10" ht="30.75" thickBot="1" x14ac:dyDescent="0.35">
      <c r="A34" s="1" t="s">
        <v>2</v>
      </c>
      <c r="B34" s="2" t="s">
        <v>204</v>
      </c>
      <c r="C34" s="2" t="s">
        <v>184</v>
      </c>
      <c r="D34" s="2" t="s">
        <v>82</v>
      </c>
      <c r="E34" s="2" t="s">
        <v>83</v>
      </c>
      <c r="F34" s="2" t="s">
        <v>205</v>
      </c>
      <c r="G34" s="2" t="s">
        <v>173</v>
      </c>
      <c r="H34" s="2" t="s">
        <v>206</v>
      </c>
      <c r="I34" s="2" t="s">
        <v>207</v>
      </c>
      <c r="J34" s="3" t="s">
        <v>208</v>
      </c>
    </row>
    <row r="35" spans="1:10" ht="14.1" customHeight="1" x14ac:dyDescent="0.3">
      <c r="A35" s="56">
        <v>1</v>
      </c>
      <c r="B35" s="57" t="s">
        <v>124</v>
      </c>
      <c r="C35" s="72">
        <v>2</v>
      </c>
      <c r="D35" s="72" t="s">
        <v>89</v>
      </c>
      <c r="E35" s="57" t="str">
        <f t="shared" ref="E35:E41" si="5">IF(D35="K","Kawin","Tidak Kawin")</f>
        <v>Kawin</v>
      </c>
      <c r="F35" s="72">
        <v>2</v>
      </c>
      <c r="G35" s="165">
        <f t="shared" ref="G35:G41" si="6">VLOOKUP(C35,$A$17:$C$19,2)</f>
        <v>7000000</v>
      </c>
      <c r="H35" s="166">
        <f t="shared" ref="H35:H41" si="7">IF(F35=0,0,F35*VLOOKUP(C35,$A$17:$C$19,3))</f>
        <v>700000</v>
      </c>
      <c r="I35" s="165">
        <f t="shared" ref="I35:I41" si="8">IF(D35="T",0,G35*HLOOKUP(C35,$F$18:$H$19,2))</f>
        <v>1610000</v>
      </c>
      <c r="J35" s="167">
        <f t="shared" ref="J35:J41" si="9">G35+H35+I35</f>
        <v>9310000</v>
      </c>
    </row>
    <row r="36" spans="1:10" ht="14.1" customHeight="1" x14ac:dyDescent="0.3">
      <c r="A36" s="25">
        <v>2</v>
      </c>
      <c r="B36" s="39" t="s">
        <v>125</v>
      </c>
      <c r="C36" s="15">
        <v>2</v>
      </c>
      <c r="D36" s="15" t="s">
        <v>86</v>
      </c>
      <c r="E36" s="39" t="str">
        <f t="shared" si="5"/>
        <v>Tidak Kawin</v>
      </c>
      <c r="F36" s="15">
        <v>0</v>
      </c>
      <c r="G36" s="166">
        <f t="shared" si="6"/>
        <v>7000000</v>
      </c>
      <c r="H36" s="166">
        <f t="shared" si="7"/>
        <v>0</v>
      </c>
      <c r="I36" s="166">
        <f t="shared" si="8"/>
        <v>0</v>
      </c>
      <c r="J36" s="168">
        <f t="shared" si="9"/>
        <v>7000000</v>
      </c>
    </row>
    <row r="37" spans="1:10" ht="14.1" customHeight="1" x14ac:dyDescent="0.3">
      <c r="A37" s="25">
        <v>3</v>
      </c>
      <c r="B37" s="39" t="s">
        <v>126</v>
      </c>
      <c r="C37" s="15">
        <v>1</v>
      </c>
      <c r="D37" s="15" t="s">
        <v>89</v>
      </c>
      <c r="E37" s="39" t="str">
        <f t="shared" si="5"/>
        <v>Kawin</v>
      </c>
      <c r="F37" s="15">
        <v>0</v>
      </c>
      <c r="G37" s="166">
        <f t="shared" si="6"/>
        <v>5500000</v>
      </c>
      <c r="H37" s="166">
        <f t="shared" si="7"/>
        <v>0</v>
      </c>
      <c r="I37" s="166">
        <f t="shared" si="8"/>
        <v>1100000</v>
      </c>
      <c r="J37" s="168">
        <f t="shared" si="9"/>
        <v>6600000</v>
      </c>
    </row>
    <row r="38" spans="1:10" ht="14.1" customHeight="1" x14ac:dyDescent="0.3">
      <c r="A38" s="25">
        <v>4</v>
      </c>
      <c r="B38" s="39" t="s">
        <v>127</v>
      </c>
      <c r="C38" s="15">
        <v>3</v>
      </c>
      <c r="D38" s="15" t="s">
        <v>89</v>
      </c>
      <c r="E38" s="39" t="str">
        <f t="shared" si="5"/>
        <v>Kawin</v>
      </c>
      <c r="F38" s="15">
        <v>1</v>
      </c>
      <c r="G38" s="166">
        <f t="shared" si="6"/>
        <v>10000000</v>
      </c>
      <c r="H38" s="166">
        <f t="shared" si="7"/>
        <v>500000</v>
      </c>
      <c r="I38" s="166">
        <f t="shared" si="8"/>
        <v>2500000</v>
      </c>
      <c r="J38" s="168">
        <f t="shared" si="9"/>
        <v>13000000</v>
      </c>
    </row>
    <row r="39" spans="1:10" ht="14.1" customHeight="1" x14ac:dyDescent="0.3">
      <c r="A39" s="25">
        <v>5</v>
      </c>
      <c r="B39" s="39" t="s">
        <v>128</v>
      </c>
      <c r="C39" s="15">
        <v>3</v>
      </c>
      <c r="D39" s="15" t="s">
        <v>89</v>
      </c>
      <c r="E39" s="39" t="str">
        <f t="shared" si="5"/>
        <v>Kawin</v>
      </c>
      <c r="F39" s="15">
        <v>3</v>
      </c>
      <c r="G39" s="166">
        <f t="shared" si="6"/>
        <v>10000000</v>
      </c>
      <c r="H39" s="166">
        <f t="shared" si="7"/>
        <v>1500000</v>
      </c>
      <c r="I39" s="166">
        <f t="shared" si="8"/>
        <v>2500000</v>
      </c>
      <c r="J39" s="168">
        <f t="shared" si="9"/>
        <v>14000000</v>
      </c>
    </row>
    <row r="40" spans="1:10" ht="14.1" customHeight="1" x14ac:dyDescent="0.3">
      <c r="A40" s="25">
        <v>6</v>
      </c>
      <c r="B40" s="39" t="s">
        <v>131</v>
      </c>
      <c r="C40" s="15">
        <v>1</v>
      </c>
      <c r="D40" s="15" t="s">
        <v>86</v>
      </c>
      <c r="E40" s="39" t="str">
        <f t="shared" si="5"/>
        <v>Tidak Kawin</v>
      </c>
      <c r="F40" s="15">
        <v>0</v>
      </c>
      <c r="G40" s="166">
        <f t="shared" si="6"/>
        <v>5500000</v>
      </c>
      <c r="H40" s="166">
        <f t="shared" si="7"/>
        <v>0</v>
      </c>
      <c r="I40" s="166">
        <f t="shared" si="8"/>
        <v>0</v>
      </c>
      <c r="J40" s="168">
        <f t="shared" si="9"/>
        <v>5500000</v>
      </c>
    </row>
    <row r="41" spans="1:10" ht="14.1" customHeight="1" thickBot="1" x14ac:dyDescent="0.35">
      <c r="A41" s="27">
        <v>7</v>
      </c>
      <c r="B41" s="65" t="s">
        <v>130</v>
      </c>
      <c r="C41" s="18">
        <v>2</v>
      </c>
      <c r="D41" s="18" t="s">
        <v>89</v>
      </c>
      <c r="E41" s="65" t="str">
        <f t="shared" si="5"/>
        <v>Kawin</v>
      </c>
      <c r="F41" s="18">
        <v>0</v>
      </c>
      <c r="G41" s="169">
        <f t="shared" si="6"/>
        <v>7000000</v>
      </c>
      <c r="H41" s="169">
        <f t="shared" si="7"/>
        <v>0</v>
      </c>
      <c r="I41" s="169">
        <f t="shared" si="8"/>
        <v>1610000</v>
      </c>
      <c r="J41" s="170">
        <f t="shared" si="9"/>
        <v>8610000</v>
      </c>
    </row>
  </sheetData>
  <mergeCells count="5">
    <mergeCell ref="A32:J32"/>
    <mergeCell ref="A1:B1"/>
    <mergeCell ref="A3:J3"/>
    <mergeCell ref="A4:J4"/>
    <mergeCell ref="A31:J31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4294967293" vertic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zoomScale="85" zoomScaleNormal="85" workbookViewId="0">
      <selection activeCell="J13" sqref="J13"/>
    </sheetView>
  </sheetViews>
  <sheetFormatPr defaultRowHeight="13.5" x14ac:dyDescent="0.3"/>
  <cols>
    <col min="1" max="1" width="3.625" style="228" customWidth="1"/>
    <col min="2" max="2" width="24.125" style="228" customWidth="1"/>
    <col min="3" max="3" width="9" style="228"/>
    <col min="4" max="4" width="9.5" style="228" customWidth="1"/>
    <col min="5" max="5" width="7.25" style="228" customWidth="1"/>
    <col min="6" max="6" width="11.625" style="228" bestFit="1" customWidth="1"/>
    <col min="7" max="7" width="13.625" style="228" bestFit="1" customWidth="1"/>
    <col min="8" max="8" width="12.125" style="228" bestFit="1" customWidth="1"/>
    <col min="9" max="9" width="13.625" style="228" bestFit="1" customWidth="1"/>
    <col min="10" max="10" width="9" style="228"/>
    <col min="11" max="11" width="12.125" style="228" bestFit="1" customWidth="1"/>
    <col min="12" max="16384" width="9" style="228"/>
  </cols>
  <sheetData>
    <row r="1" spans="1:11" ht="15.75" thickBot="1" x14ac:dyDescent="0.35">
      <c r="A1" s="323" t="s">
        <v>349</v>
      </c>
      <c r="B1" s="324"/>
      <c r="C1" s="325"/>
      <c r="D1" s="30"/>
      <c r="E1" s="30"/>
      <c r="F1" s="30"/>
    </row>
    <row r="2" spans="1:11" x14ac:dyDescent="0.3">
      <c r="A2" s="30"/>
      <c r="B2" s="30"/>
      <c r="C2" s="30"/>
      <c r="D2" s="30"/>
      <c r="E2" s="30"/>
      <c r="F2" s="30"/>
    </row>
    <row r="3" spans="1:11" x14ac:dyDescent="0.3">
      <c r="A3" s="30"/>
      <c r="B3" s="30"/>
      <c r="C3" s="30"/>
      <c r="D3" s="30"/>
      <c r="E3" s="30"/>
      <c r="F3" s="30"/>
    </row>
    <row r="4" spans="1:11" ht="15" x14ac:dyDescent="0.3">
      <c r="A4" s="30"/>
      <c r="B4" s="390" t="s">
        <v>221</v>
      </c>
      <c r="C4" s="390"/>
      <c r="D4" s="390"/>
      <c r="E4" s="390"/>
      <c r="F4" s="390"/>
      <c r="G4" s="390"/>
      <c r="H4" s="390"/>
      <c r="I4" s="390"/>
    </row>
    <row r="5" spans="1:11" ht="15" x14ac:dyDescent="0.3">
      <c r="A5" s="30"/>
      <c r="B5" s="390" t="s">
        <v>365</v>
      </c>
      <c r="C5" s="390"/>
      <c r="D5" s="390"/>
      <c r="E5" s="390"/>
      <c r="F5" s="390"/>
      <c r="G5" s="390"/>
      <c r="H5" s="390"/>
      <c r="I5" s="390"/>
    </row>
    <row r="6" spans="1:11" ht="14.25" thickBot="1" x14ac:dyDescent="0.35">
      <c r="A6" s="30"/>
    </row>
    <row r="7" spans="1:11" ht="30.75" thickBot="1" x14ac:dyDescent="0.35">
      <c r="A7" s="285"/>
      <c r="B7" s="300" t="s">
        <v>35</v>
      </c>
      <c r="C7" s="2" t="s">
        <v>3</v>
      </c>
      <c r="D7" s="2" t="s">
        <v>229</v>
      </c>
      <c r="E7" s="2" t="s">
        <v>37</v>
      </c>
      <c r="F7" s="2" t="s">
        <v>39</v>
      </c>
      <c r="G7" s="2" t="s">
        <v>230</v>
      </c>
      <c r="H7" s="2" t="s">
        <v>231</v>
      </c>
      <c r="I7" s="3" t="s">
        <v>232</v>
      </c>
    </row>
    <row r="8" spans="1:11" x14ac:dyDescent="0.3">
      <c r="A8" s="285"/>
      <c r="B8" s="301">
        <v>45789</v>
      </c>
      <c r="C8" s="115" t="s">
        <v>223</v>
      </c>
      <c r="D8" s="115">
        <v>23</v>
      </c>
      <c r="E8" s="115" t="str">
        <f t="shared" ref="E8:E16" si="0">VLOOKUP(C8,$B$21:$E$25,2)</f>
        <v>Tinta</v>
      </c>
      <c r="F8" s="314">
        <f t="shared" ref="F8:F16" si="1">VLOOKUP(C8,$B$20:$E$25,3,FALSE)</f>
        <v>25000</v>
      </c>
      <c r="G8" s="314">
        <f>D8*F8</f>
        <v>575000</v>
      </c>
      <c r="H8" s="314">
        <f t="shared" ref="H8:H16" si="2">VLOOKUP(C8,$B$20:$E$25,4,FALSE)*G8</f>
        <v>63250</v>
      </c>
      <c r="I8" s="314">
        <f>G8-H8</f>
        <v>511750</v>
      </c>
      <c r="K8" s="313"/>
    </row>
    <row r="9" spans="1:11" x14ac:dyDescent="0.3">
      <c r="A9" s="285"/>
      <c r="B9" s="302">
        <v>45794</v>
      </c>
      <c r="C9" s="120" t="s">
        <v>224</v>
      </c>
      <c r="D9" s="120">
        <v>45</v>
      </c>
      <c r="E9" s="115" t="str">
        <f t="shared" si="0"/>
        <v>Spidol</v>
      </c>
      <c r="F9" s="314">
        <f t="shared" si="1"/>
        <v>10000</v>
      </c>
      <c r="G9" s="314">
        <f t="shared" ref="G9:G16" si="3">D9*F9</f>
        <v>450000</v>
      </c>
      <c r="H9" s="314">
        <f t="shared" si="2"/>
        <v>45000</v>
      </c>
      <c r="I9" s="314">
        <f t="shared" ref="I9:I16" si="4">G9-H9</f>
        <v>405000</v>
      </c>
    </row>
    <row r="10" spans="1:11" x14ac:dyDescent="0.3">
      <c r="A10" s="285"/>
      <c r="B10" s="302">
        <v>45799</v>
      </c>
      <c r="C10" s="120" t="s">
        <v>223</v>
      </c>
      <c r="D10" s="120">
        <v>14</v>
      </c>
      <c r="E10" s="115" t="str">
        <f t="shared" si="0"/>
        <v>Tinta</v>
      </c>
      <c r="F10" s="314">
        <f t="shared" si="1"/>
        <v>25000</v>
      </c>
      <c r="G10" s="314">
        <f t="shared" si="3"/>
        <v>350000</v>
      </c>
      <c r="H10" s="314">
        <f t="shared" si="2"/>
        <v>38500</v>
      </c>
      <c r="I10" s="314">
        <f t="shared" si="4"/>
        <v>311500</v>
      </c>
    </row>
    <row r="11" spans="1:11" x14ac:dyDescent="0.3">
      <c r="A11" s="285"/>
      <c r="B11" s="302">
        <v>45802</v>
      </c>
      <c r="C11" s="120" t="s">
        <v>225</v>
      </c>
      <c r="D11" s="120">
        <v>67</v>
      </c>
      <c r="E11" s="115" t="str">
        <f t="shared" si="0"/>
        <v>Pensil</v>
      </c>
      <c r="F11" s="314">
        <f t="shared" si="1"/>
        <v>1500</v>
      </c>
      <c r="G11" s="314">
        <f t="shared" si="3"/>
        <v>100500</v>
      </c>
      <c r="H11" s="314">
        <f t="shared" si="2"/>
        <v>15075</v>
      </c>
      <c r="I11" s="314">
        <f t="shared" si="4"/>
        <v>85425</v>
      </c>
    </row>
    <row r="12" spans="1:11" x14ac:dyDescent="0.3">
      <c r="A12" s="285"/>
      <c r="B12" s="302">
        <v>45816</v>
      </c>
      <c r="C12" s="120" t="s">
        <v>226</v>
      </c>
      <c r="D12" s="120">
        <v>35</v>
      </c>
      <c r="E12" s="115" t="str">
        <f t="shared" si="0"/>
        <v>Buku</v>
      </c>
      <c r="F12" s="314">
        <f t="shared" si="1"/>
        <v>2500</v>
      </c>
      <c r="G12" s="314">
        <f t="shared" si="3"/>
        <v>87500</v>
      </c>
      <c r="H12" s="314">
        <f t="shared" si="2"/>
        <v>8750</v>
      </c>
      <c r="I12" s="314">
        <f t="shared" si="4"/>
        <v>78750</v>
      </c>
    </row>
    <row r="13" spans="1:11" x14ac:dyDescent="0.3">
      <c r="A13" s="285"/>
      <c r="B13" s="302">
        <v>45819</v>
      </c>
      <c r="C13" s="120" t="s">
        <v>227</v>
      </c>
      <c r="D13" s="120">
        <v>78</v>
      </c>
      <c r="E13" s="115" t="str">
        <f t="shared" si="0"/>
        <v>Kertas</v>
      </c>
      <c r="F13" s="314">
        <f t="shared" si="1"/>
        <v>500</v>
      </c>
      <c r="G13" s="314">
        <f t="shared" si="3"/>
        <v>39000</v>
      </c>
      <c r="H13" s="314">
        <f t="shared" si="2"/>
        <v>4680</v>
      </c>
      <c r="I13" s="314">
        <f t="shared" si="4"/>
        <v>34320</v>
      </c>
    </row>
    <row r="14" spans="1:11" x14ac:dyDescent="0.3">
      <c r="A14" s="285"/>
      <c r="B14" s="302">
        <v>45823</v>
      </c>
      <c r="C14" s="120" t="s">
        <v>227</v>
      </c>
      <c r="D14" s="120">
        <v>34</v>
      </c>
      <c r="E14" s="115" t="str">
        <f t="shared" si="0"/>
        <v>Kertas</v>
      </c>
      <c r="F14" s="314">
        <f t="shared" si="1"/>
        <v>500</v>
      </c>
      <c r="G14" s="314">
        <f t="shared" si="3"/>
        <v>17000</v>
      </c>
      <c r="H14" s="314">
        <f t="shared" si="2"/>
        <v>2040</v>
      </c>
      <c r="I14" s="314">
        <f t="shared" si="4"/>
        <v>14960</v>
      </c>
    </row>
    <row r="15" spans="1:11" x14ac:dyDescent="0.3">
      <c r="A15" s="285"/>
      <c r="B15" s="302">
        <v>45827</v>
      </c>
      <c r="C15" s="120" t="s">
        <v>225</v>
      </c>
      <c r="D15" s="120">
        <v>12</v>
      </c>
      <c r="E15" s="115" t="str">
        <f t="shared" si="0"/>
        <v>Pensil</v>
      </c>
      <c r="F15" s="314">
        <f t="shared" si="1"/>
        <v>1500</v>
      </c>
      <c r="G15" s="314">
        <f t="shared" si="3"/>
        <v>18000</v>
      </c>
      <c r="H15" s="314">
        <f t="shared" si="2"/>
        <v>2700</v>
      </c>
      <c r="I15" s="314">
        <f t="shared" si="4"/>
        <v>15300</v>
      </c>
    </row>
    <row r="16" spans="1:11" x14ac:dyDescent="0.3">
      <c r="A16" s="285"/>
      <c r="B16" s="310">
        <v>45835</v>
      </c>
      <c r="C16" s="311" t="s">
        <v>226</v>
      </c>
      <c r="D16" s="311">
        <v>34</v>
      </c>
      <c r="E16" s="312" t="str">
        <f t="shared" si="0"/>
        <v>Buku</v>
      </c>
      <c r="F16" s="315">
        <f t="shared" si="1"/>
        <v>2500</v>
      </c>
      <c r="G16" s="315">
        <f t="shared" si="3"/>
        <v>85000</v>
      </c>
      <c r="H16" s="315">
        <f t="shared" si="2"/>
        <v>8500</v>
      </c>
      <c r="I16" s="315">
        <f t="shared" si="4"/>
        <v>76500</v>
      </c>
    </row>
    <row r="17" spans="1:9" x14ac:dyDescent="0.3">
      <c r="A17" s="30"/>
      <c r="B17" s="392" t="s">
        <v>242</v>
      </c>
      <c r="C17" s="393"/>
      <c r="D17" s="393"/>
      <c r="E17" s="394"/>
      <c r="F17" s="316">
        <f>SUM(F8:F16)</f>
        <v>69000</v>
      </c>
      <c r="G17" s="316">
        <f>SUM(G8:G16)</f>
        <v>1722000</v>
      </c>
      <c r="H17" s="316">
        <f>SUM(H8:H16)</f>
        <v>188495</v>
      </c>
      <c r="I17" s="316">
        <f>SUM(I8:I16)</f>
        <v>1533505</v>
      </c>
    </row>
    <row r="18" spans="1:9" x14ac:dyDescent="0.3">
      <c r="A18" s="30"/>
    </row>
    <row r="19" spans="1:9" ht="15.75" thickBot="1" x14ac:dyDescent="0.35">
      <c r="A19" s="30"/>
      <c r="B19" s="391" t="s">
        <v>233</v>
      </c>
      <c r="C19" s="391"/>
      <c r="D19" s="391"/>
      <c r="E19" s="391"/>
    </row>
    <row r="20" spans="1:9" ht="30.75" thickBot="1" x14ac:dyDescent="0.35">
      <c r="A20" s="285"/>
      <c r="B20" s="300" t="s">
        <v>3</v>
      </c>
      <c r="C20" s="2" t="s">
        <v>37</v>
      </c>
      <c r="D20" s="2" t="s">
        <v>39</v>
      </c>
      <c r="E20" s="3" t="s">
        <v>231</v>
      </c>
    </row>
    <row r="21" spans="1:9" x14ac:dyDescent="0.3">
      <c r="A21" s="285"/>
      <c r="B21" s="303" t="s">
        <v>226</v>
      </c>
      <c r="C21" s="121" t="s">
        <v>234</v>
      </c>
      <c r="D21" s="117">
        <v>2500</v>
      </c>
      <c r="E21" s="234">
        <v>0.1</v>
      </c>
    </row>
    <row r="22" spans="1:9" x14ac:dyDescent="0.3">
      <c r="A22" s="285"/>
      <c r="B22" s="304" t="s">
        <v>227</v>
      </c>
      <c r="C22" s="158" t="s">
        <v>235</v>
      </c>
      <c r="D22" s="122">
        <v>500</v>
      </c>
      <c r="E22" s="235">
        <v>0.12</v>
      </c>
    </row>
    <row r="23" spans="1:9" x14ac:dyDescent="0.3">
      <c r="A23" s="285"/>
      <c r="B23" s="304" t="s">
        <v>223</v>
      </c>
      <c r="C23" s="158" t="s">
        <v>236</v>
      </c>
      <c r="D23" s="122">
        <v>25000</v>
      </c>
      <c r="E23" s="235">
        <v>0.11</v>
      </c>
    </row>
    <row r="24" spans="1:9" x14ac:dyDescent="0.3">
      <c r="A24" s="285"/>
      <c r="B24" s="304" t="s">
        <v>224</v>
      </c>
      <c r="C24" s="158" t="s">
        <v>237</v>
      </c>
      <c r="D24" s="122">
        <v>10000</v>
      </c>
      <c r="E24" s="235">
        <v>0.1</v>
      </c>
    </row>
    <row r="25" spans="1:9" ht="14.25" thickBot="1" x14ac:dyDescent="0.35">
      <c r="A25" s="285"/>
      <c r="B25" s="270" t="s">
        <v>225</v>
      </c>
      <c r="C25" s="159" t="s">
        <v>238</v>
      </c>
      <c r="D25" s="127">
        <v>1500</v>
      </c>
      <c r="E25" s="236">
        <v>0.15</v>
      </c>
    </row>
    <row r="27" spans="1:9" ht="14.25" x14ac:dyDescent="0.3">
      <c r="B27" s="237" t="s">
        <v>55</v>
      </c>
    </row>
    <row r="28" spans="1:9" ht="14.25" x14ac:dyDescent="0.3">
      <c r="B28" s="238" t="s">
        <v>261</v>
      </c>
    </row>
    <row r="29" spans="1:9" ht="14.25" x14ac:dyDescent="0.3">
      <c r="B29" s="237" t="s">
        <v>262</v>
      </c>
    </row>
    <row r="30" spans="1:9" ht="14.25" x14ac:dyDescent="0.3">
      <c r="B30" s="237" t="s">
        <v>263</v>
      </c>
    </row>
    <row r="31" spans="1:9" ht="14.25" x14ac:dyDescent="0.3">
      <c r="B31" s="237" t="s">
        <v>264</v>
      </c>
    </row>
    <row r="32" spans="1:9" ht="14.25" x14ac:dyDescent="0.3">
      <c r="B32" s="237"/>
    </row>
    <row r="33" spans="1:9" ht="15" thickBot="1" x14ac:dyDescent="0.35">
      <c r="B33" s="237"/>
    </row>
    <row r="34" spans="1:9" ht="15.75" thickBot="1" x14ac:dyDescent="0.35">
      <c r="A34" s="323" t="s">
        <v>349</v>
      </c>
      <c r="B34" s="324"/>
      <c r="C34" s="325"/>
      <c r="D34" s="30"/>
      <c r="E34" s="30"/>
      <c r="F34" s="30"/>
    </row>
    <row r="35" spans="1:9" x14ac:dyDescent="0.3">
      <c r="A35" s="30"/>
      <c r="B35" s="30"/>
      <c r="C35" s="30"/>
      <c r="D35" s="30"/>
      <c r="E35" s="30"/>
      <c r="F35" s="30"/>
    </row>
    <row r="36" spans="1:9" ht="14.25" thickBot="1" x14ac:dyDescent="0.35">
      <c r="A36" s="30"/>
      <c r="B36" s="30"/>
      <c r="C36" s="30"/>
      <c r="D36" s="30"/>
      <c r="E36" s="30"/>
      <c r="F36" s="30"/>
    </row>
    <row r="37" spans="1:9" ht="14.25" thickBot="1" x14ac:dyDescent="0.35">
      <c r="A37" s="221"/>
      <c r="B37" s="221" t="s">
        <v>331</v>
      </c>
      <c r="C37" s="221" t="s">
        <v>332</v>
      </c>
      <c r="D37" s="221" t="s">
        <v>333</v>
      </c>
      <c r="E37" s="221" t="s">
        <v>85</v>
      </c>
      <c r="F37" s="221" t="s">
        <v>334</v>
      </c>
      <c r="G37" s="221" t="s">
        <v>334</v>
      </c>
      <c r="H37" s="221" t="s">
        <v>334</v>
      </c>
      <c r="I37" s="221" t="s">
        <v>334</v>
      </c>
    </row>
    <row r="38" spans="1:9" ht="17.25" thickBot="1" x14ac:dyDescent="0.35">
      <c r="A38" s="223">
        <v>1</v>
      </c>
      <c r="B38" s="326" t="s">
        <v>221</v>
      </c>
      <c r="C38" s="327"/>
      <c r="D38" s="327"/>
      <c r="E38" s="327"/>
      <c r="F38" s="327"/>
      <c r="G38" s="327"/>
      <c r="H38" s="327"/>
      <c r="I38" s="328"/>
    </row>
    <row r="39" spans="1:9" ht="17.25" thickBot="1" x14ac:dyDescent="0.35">
      <c r="A39" s="223">
        <v>2</v>
      </c>
      <c r="B39" s="329" t="s">
        <v>222</v>
      </c>
      <c r="C39" s="330"/>
      <c r="D39" s="330"/>
      <c r="E39" s="330"/>
      <c r="F39" s="330"/>
      <c r="G39" s="330"/>
      <c r="H39" s="330"/>
      <c r="I39" s="331"/>
    </row>
    <row r="40" spans="1:9" ht="14.25" thickBot="1" x14ac:dyDescent="0.35">
      <c r="A40" s="223">
        <v>3</v>
      </c>
    </row>
    <row r="41" spans="1:9" ht="30.75" thickBot="1" x14ac:dyDescent="0.35">
      <c r="A41" s="223">
        <v>4</v>
      </c>
      <c r="B41" s="1" t="s">
        <v>35</v>
      </c>
      <c r="C41" s="2" t="s">
        <v>3</v>
      </c>
      <c r="D41" s="2" t="s">
        <v>229</v>
      </c>
      <c r="E41" s="2" t="s">
        <v>37</v>
      </c>
      <c r="F41" s="2" t="s">
        <v>39</v>
      </c>
      <c r="G41" s="2" t="s">
        <v>230</v>
      </c>
      <c r="H41" s="2" t="s">
        <v>231</v>
      </c>
      <c r="I41" s="3" t="s">
        <v>232</v>
      </c>
    </row>
    <row r="42" spans="1:9" ht="14.25" thickBot="1" x14ac:dyDescent="0.35">
      <c r="A42" s="223">
        <v>5</v>
      </c>
      <c r="B42" s="231">
        <v>34831</v>
      </c>
      <c r="C42" s="115" t="s">
        <v>223</v>
      </c>
      <c r="D42" s="115">
        <v>23</v>
      </c>
      <c r="E42" s="115" t="str">
        <f>VLOOKUP(C42,$B$21:$E$25,2)</f>
        <v>Tinta</v>
      </c>
      <c r="F42" s="117">
        <f>VLOOKUP(C42,$B$21:$E$25,3)</f>
        <v>25000</v>
      </c>
      <c r="G42" s="117">
        <f>D42*F42</f>
        <v>575000</v>
      </c>
      <c r="H42" s="117">
        <f>VLOOKUP(C42,$B$21:$E$25,4)*G42</f>
        <v>63250</v>
      </c>
      <c r="I42" s="118">
        <f>G42-H42</f>
        <v>511750</v>
      </c>
    </row>
    <row r="43" spans="1:9" ht="14.25" thickBot="1" x14ac:dyDescent="0.35">
      <c r="A43" s="223">
        <v>6</v>
      </c>
      <c r="B43" s="232">
        <v>34836</v>
      </c>
      <c r="C43" s="120" t="s">
        <v>224</v>
      </c>
      <c r="D43" s="120">
        <v>45</v>
      </c>
      <c r="E43" s="120" t="str">
        <f t="shared" ref="E43:E50" si="5">VLOOKUP(C43,$B$21:$E$25,2)</f>
        <v>Spidol</v>
      </c>
      <c r="F43" s="122">
        <f t="shared" ref="F43:F50" si="6">VLOOKUP(C43,$B$21:$E$25,3)</f>
        <v>10000</v>
      </c>
      <c r="G43" s="122">
        <f t="shared" ref="G43:G50" si="7">D43*F43</f>
        <v>450000</v>
      </c>
      <c r="H43" s="122">
        <f t="shared" ref="H43:H50" si="8">VLOOKUP(C43,$B$21:$E$25,4)*G43</f>
        <v>45000</v>
      </c>
      <c r="I43" s="123">
        <f t="shared" ref="I43:I50" si="9">G43-H43</f>
        <v>405000</v>
      </c>
    </row>
    <row r="44" spans="1:9" ht="14.25" thickBot="1" x14ac:dyDescent="0.35">
      <c r="A44" s="223">
        <v>7</v>
      </c>
      <c r="B44" s="232">
        <v>35207</v>
      </c>
      <c r="C44" s="120" t="s">
        <v>223</v>
      </c>
      <c r="D44" s="120">
        <v>14</v>
      </c>
      <c r="E44" s="120" t="str">
        <f t="shared" si="5"/>
        <v>Tinta</v>
      </c>
      <c r="F44" s="122">
        <f t="shared" si="6"/>
        <v>25000</v>
      </c>
      <c r="G44" s="122">
        <f t="shared" si="7"/>
        <v>350000</v>
      </c>
      <c r="H44" s="122">
        <f t="shared" si="8"/>
        <v>38500</v>
      </c>
      <c r="I44" s="123">
        <f t="shared" si="9"/>
        <v>311500</v>
      </c>
    </row>
    <row r="45" spans="1:9" ht="14.25" thickBot="1" x14ac:dyDescent="0.35">
      <c r="A45" s="223">
        <v>8</v>
      </c>
      <c r="B45" s="232">
        <v>34844</v>
      </c>
      <c r="C45" s="120" t="s">
        <v>225</v>
      </c>
      <c r="D45" s="120">
        <v>67</v>
      </c>
      <c r="E45" s="120" t="str">
        <f t="shared" si="5"/>
        <v>Pensil</v>
      </c>
      <c r="F45" s="122">
        <f t="shared" si="6"/>
        <v>1500</v>
      </c>
      <c r="G45" s="122">
        <f t="shared" si="7"/>
        <v>100500</v>
      </c>
      <c r="H45" s="122">
        <f t="shared" si="8"/>
        <v>15075</v>
      </c>
      <c r="I45" s="123">
        <f t="shared" si="9"/>
        <v>85425</v>
      </c>
    </row>
    <row r="46" spans="1:9" ht="14.25" thickBot="1" x14ac:dyDescent="0.35">
      <c r="A46" s="223">
        <v>9</v>
      </c>
      <c r="B46" s="232">
        <v>34858</v>
      </c>
      <c r="C46" s="120" t="s">
        <v>226</v>
      </c>
      <c r="D46" s="120">
        <v>35</v>
      </c>
      <c r="E46" s="120" t="str">
        <f t="shared" si="5"/>
        <v>Buku</v>
      </c>
      <c r="F46" s="122">
        <f t="shared" si="6"/>
        <v>2500</v>
      </c>
      <c r="G46" s="122">
        <f t="shared" si="7"/>
        <v>87500</v>
      </c>
      <c r="H46" s="122">
        <f t="shared" si="8"/>
        <v>8750</v>
      </c>
      <c r="I46" s="123">
        <f t="shared" si="9"/>
        <v>78750</v>
      </c>
    </row>
    <row r="47" spans="1:9" ht="14.25" thickBot="1" x14ac:dyDescent="0.35">
      <c r="A47" s="223">
        <v>10</v>
      </c>
      <c r="B47" s="232">
        <v>34861</v>
      </c>
      <c r="C47" s="120" t="s">
        <v>227</v>
      </c>
      <c r="D47" s="120">
        <v>78</v>
      </c>
      <c r="E47" s="120" t="str">
        <f t="shared" si="5"/>
        <v>Kertas</v>
      </c>
      <c r="F47" s="122">
        <f t="shared" si="6"/>
        <v>500</v>
      </c>
      <c r="G47" s="122">
        <f t="shared" si="7"/>
        <v>39000</v>
      </c>
      <c r="H47" s="122">
        <f t="shared" si="8"/>
        <v>4680</v>
      </c>
      <c r="I47" s="123">
        <f t="shared" si="9"/>
        <v>34320</v>
      </c>
    </row>
    <row r="48" spans="1:9" ht="14.25" thickBot="1" x14ac:dyDescent="0.35">
      <c r="A48" s="223">
        <v>11</v>
      </c>
      <c r="B48" s="232">
        <v>34865</v>
      </c>
      <c r="C48" s="120" t="s">
        <v>227</v>
      </c>
      <c r="D48" s="120">
        <v>34</v>
      </c>
      <c r="E48" s="120" t="str">
        <f t="shared" si="5"/>
        <v>Kertas</v>
      </c>
      <c r="F48" s="122">
        <f t="shared" si="6"/>
        <v>500</v>
      </c>
      <c r="G48" s="122">
        <f t="shared" si="7"/>
        <v>17000</v>
      </c>
      <c r="H48" s="122">
        <f t="shared" si="8"/>
        <v>2040</v>
      </c>
      <c r="I48" s="123">
        <f t="shared" si="9"/>
        <v>14960</v>
      </c>
    </row>
    <row r="49" spans="1:9" ht="14.25" thickBot="1" x14ac:dyDescent="0.35">
      <c r="A49" s="223">
        <v>12</v>
      </c>
      <c r="B49" s="232">
        <v>34869</v>
      </c>
      <c r="C49" s="120" t="s">
        <v>228</v>
      </c>
      <c r="D49" s="120">
        <v>12</v>
      </c>
      <c r="E49" s="120" t="str">
        <f t="shared" si="5"/>
        <v>Pensil</v>
      </c>
      <c r="F49" s="122">
        <f t="shared" si="6"/>
        <v>1500</v>
      </c>
      <c r="G49" s="122">
        <f t="shared" si="7"/>
        <v>18000</v>
      </c>
      <c r="H49" s="122">
        <f t="shared" si="8"/>
        <v>2700</v>
      </c>
      <c r="I49" s="123">
        <f t="shared" si="9"/>
        <v>15300</v>
      </c>
    </row>
    <row r="50" spans="1:9" ht="14.25" thickBot="1" x14ac:dyDescent="0.35">
      <c r="A50" s="223">
        <v>13</v>
      </c>
      <c r="B50" s="233">
        <v>34877</v>
      </c>
      <c r="C50" s="125" t="s">
        <v>226</v>
      </c>
      <c r="D50" s="125">
        <v>34</v>
      </c>
      <c r="E50" s="125" t="str">
        <f t="shared" si="5"/>
        <v>Buku</v>
      </c>
      <c r="F50" s="127">
        <f t="shared" si="6"/>
        <v>2500</v>
      </c>
      <c r="G50" s="127">
        <f t="shared" si="7"/>
        <v>85000</v>
      </c>
      <c r="H50" s="127">
        <f t="shared" si="8"/>
        <v>8500</v>
      </c>
      <c r="I50" s="128">
        <f t="shared" si="9"/>
        <v>76500</v>
      </c>
    </row>
  </sheetData>
  <mergeCells count="8">
    <mergeCell ref="A1:C1"/>
    <mergeCell ref="A34:C34"/>
    <mergeCell ref="B39:I39"/>
    <mergeCell ref="B4:I4"/>
    <mergeCell ref="B5:I5"/>
    <mergeCell ref="B19:E19"/>
    <mergeCell ref="B38:I38"/>
    <mergeCell ref="B17:E17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4294967293" vertic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E18" sqref="E18"/>
    </sheetView>
  </sheetViews>
  <sheetFormatPr defaultRowHeight="13.5" x14ac:dyDescent="0.3"/>
  <cols>
    <col min="1" max="1" width="3.625" style="30" customWidth="1"/>
    <col min="2" max="2" width="9.375" style="30" customWidth="1"/>
    <col min="3" max="3" width="12.5" style="30" customWidth="1"/>
    <col min="4" max="4" width="11.125" style="30" bestFit="1" customWidth="1"/>
    <col min="5" max="5" width="11.75" style="30" bestFit="1" customWidth="1"/>
    <col min="6" max="6" width="8.375" style="30" customWidth="1"/>
    <col min="7" max="7" width="14" style="30" bestFit="1" customWidth="1"/>
    <col min="8" max="16384" width="9" style="30"/>
  </cols>
  <sheetData>
    <row r="1" spans="1:7" ht="15.75" thickBot="1" x14ac:dyDescent="0.35">
      <c r="A1" s="323" t="s">
        <v>350</v>
      </c>
      <c r="B1" s="324"/>
      <c r="C1" s="325"/>
      <c r="G1" s="228"/>
    </row>
    <row r="2" spans="1:7" x14ac:dyDescent="0.3">
      <c r="G2" s="228"/>
    </row>
    <row r="3" spans="1:7" x14ac:dyDescent="0.3">
      <c r="G3" s="228"/>
    </row>
    <row r="4" spans="1:7" ht="15" x14ac:dyDescent="0.3">
      <c r="B4" s="332" t="s">
        <v>239</v>
      </c>
      <c r="C4" s="332"/>
      <c r="D4" s="332"/>
      <c r="E4" s="332"/>
      <c r="F4" s="332"/>
      <c r="G4" s="332"/>
    </row>
    <row r="5" spans="1:7" ht="15" x14ac:dyDescent="0.3">
      <c r="B5" s="332" t="s">
        <v>375</v>
      </c>
      <c r="C5" s="332"/>
      <c r="D5" s="332"/>
      <c r="E5" s="332"/>
      <c r="F5" s="332"/>
      <c r="G5" s="332"/>
    </row>
    <row r="6" spans="1:7" ht="15" x14ac:dyDescent="0.3">
      <c r="B6" s="332" t="s">
        <v>398</v>
      </c>
      <c r="C6" s="332"/>
      <c r="D6" s="332"/>
      <c r="E6" s="332"/>
      <c r="F6" s="332"/>
      <c r="G6" s="332"/>
    </row>
    <row r="7" spans="1:7" ht="14.25" thickBot="1" x14ac:dyDescent="0.35"/>
    <row r="8" spans="1:7" ht="30.75" thickBot="1" x14ac:dyDescent="0.35">
      <c r="A8" s="285"/>
      <c r="B8" s="300" t="s">
        <v>143</v>
      </c>
      <c r="C8" s="2" t="s">
        <v>144</v>
      </c>
      <c r="D8" s="2" t="s">
        <v>145</v>
      </c>
      <c r="E8" s="2" t="s">
        <v>146</v>
      </c>
      <c r="F8" s="2" t="s">
        <v>147</v>
      </c>
      <c r="G8" s="3" t="s">
        <v>148</v>
      </c>
    </row>
    <row r="9" spans="1:7" x14ac:dyDescent="0.3">
      <c r="A9" s="285"/>
      <c r="B9" s="306" t="s">
        <v>149</v>
      </c>
      <c r="C9" s="36" t="str">
        <f>VLOOKUP(LEFT(B9,2),$B$22:$D$27,2,FALSE)</f>
        <v>Tek. Arsitektur</v>
      </c>
      <c r="D9" s="10">
        <f>VLOOKUP(MID(B9,3,2),$F$22:$G$26,2,FALSE)</f>
        <v>2022</v>
      </c>
      <c r="E9" s="305">
        <f>VLOOKUP(C9,$C$23:$D$27,2)</f>
        <v>500000</v>
      </c>
      <c r="F9" s="10">
        <v>20</v>
      </c>
      <c r="G9" s="305">
        <f>F9*E9</f>
        <v>10000000</v>
      </c>
    </row>
    <row r="10" spans="1:7" x14ac:dyDescent="0.3">
      <c r="A10" s="285"/>
      <c r="B10" s="307" t="s">
        <v>241</v>
      </c>
      <c r="C10" s="36" t="str">
        <f t="shared" ref="C10:C18" si="0">VLOOKUP(LEFT(B10,2),$B$22:$D$27,2,FALSE)</f>
        <v>Tek. Sipil</v>
      </c>
      <c r="D10" s="10">
        <f t="shared" ref="D10:D18" si="1">VLOOKUP(MID(B10,3,2),$F$22:$G$26,2,FALSE)</f>
        <v>2023</v>
      </c>
      <c r="E10" s="305">
        <f t="shared" ref="E10:E18" si="2">VLOOKUP(C10,$C$23:$D$27,2)</f>
        <v>500000</v>
      </c>
      <c r="F10" s="15">
        <v>21</v>
      </c>
      <c r="G10" s="305">
        <f t="shared" ref="G10:G18" si="3">F10*E10</f>
        <v>10500000</v>
      </c>
    </row>
    <row r="11" spans="1:7" x14ac:dyDescent="0.3">
      <c r="A11" s="285"/>
      <c r="B11" s="307" t="s">
        <v>151</v>
      </c>
      <c r="C11" s="36" t="str">
        <f t="shared" si="0"/>
        <v>Hukum</v>
      </c>
      <c r="D11" s="10">
        <f t="shared" si="1"/>
        <v>2020</v>
      </c>
      <c r="E11" s="305">
        <f t="shared" si="2"/>
        <v>350000</v>
      </c>
      <c r="F11" s="15">
        <v>14</v>
      </c>
      <c r="G11" s="305">
        <f t="shared" si="3"/>
        <v>4900000</v>
      </c>
    </row>
    <row r="12" spans="1:7" x14ac:dyDescent="0.3">
      <c r="A12" s="285"/>
      <c r="B12" s="307" t="s">
        <v>152</v>
      </c>
      <c r="C12" s="36" t="str">
        <f t="shared" si="0"/>
        <v>Ekonomi</v>
      </c>
      <c r="D12" s="10">
        <f t="shared" si="1"/>
        <v>2021</v>
      </c>
      <c r="E12" s="305">
        <f t="shared" si="2"/>
        <v>250000</v>
      </c>
      <c r="F12" s="15">
        <v>18</v>
      </c>
      <c r="G12" s="305">
        <f t="shared" si="3"/>
        <v>4500000</v>
      </c>
    </row>
    <row r="13" spans="1:7" x14ac:dyDescent="0.3">
      <c r="A13" s="285"/>
      <c r="B13" s="307" t="s">
        <v>153</v>
      </c>
      <c r="C13" s="36" t="str">
        <f t="shared" si="0"/>
        <v>Sosial Politik</v>
      </c>
      <c r="D13" s="10">
        <f t="shared" si="1"/>
        <v>2020</v>
      </c>
      <c r="E13" s="305">
        <f t="shared" si="2"/>
        <v>300000</v>
      </c>
      <c r="F13" s="15">
        <v>10</v>
      </c>
      <c r="G13" s="305">
        <f t="shared" si="3"/>
        <v>3000000</v>
      </c>
    </row>
    <row r="14" spans="1:7" x14ac:dyDescent="0.3">
      <c r="A14" s="285"/>
      <c r="B14" s="307" t="s">
        <v>154</v>
      </c>
      <c r="C14" s="36" t="str">
        <f t="shared" si="0"/>
        <v>Tek. Sipil</v>
      </c>
      <c r="D14" s="10">
        <f t="shared" si="1"/>
        <v>2022</v>
      </c>
      <c r="E14" s="305">
        <f t="shared" si="2"/>
        <v>500000</v>
      </c>
      <c r="F14" s="15">
        <v>12</v>
      </c>
      <c r="G14" s="305">
        <f t="shared" si="3"/>
        <v>6000000</v>
      </c>
    </row>
    <row r="15" spans="1:7" x14ac:dyDescent="0.3">
      <c r="A15" s="285"/>
      <c r="B15" s="307" t="s">
        <v>155</v>
      </c>
      <c r="C15" s="36" t="str">
        <f t="shared" si="0"/>
        <v>Hukum</v>
      </c>
      <c r="D15" s="10">
        <f t="shared" si="1"/>
        <v>2021</v>
      </c>
      <c r="E15" s="305">
        <f t="shared" si="2"/>
        <v>350000</v>
      </c>
      <c r="F15" s="15">
        <v>12</v>
      </c>
      <c r="G15" s="305">
        <f t="shared" si="3"/>
        <v>4200000</v>
      </c>
    </row>
    <row r="16" spans="1:7" x14ac:dyDescent="0.3">
      <c r="A16" s="285"/>
      <c r="B16" s="307" t="s">
        <v>156</v>
      </c>
      <c r="C16" s="36" t="str">
        <f t="shared" si="0"/>
        <v>Sosial Politik</v>
      </c>
      <c r="D16" s="10">
        <f t="shared" si="1"/>
        <v>2023</v>
      </c>
      <c r="E16" s="305">
        <f t="shared" si="2"/>
        <v>300000</v>
      </c>
      <c r="F16" s="15">
        <v>20</v>
      </c>
      <c r="G16" s="305">
        <f t="shared" si="3"/>
        <v>6000000</v>
      </c>
    </row>
    <row r="17" spans="1:7" x14ac:dyDescent="0.3">
      <c r="A17" s="285"/>
      <c r="B17" s="307" t="s">
        <v>157</v>
      </c>
      <c r="C17" s="36" t="str">
        <f t="shared" si="0"/>
        <v>Tek. Arsitektur</v>
      </c>
      <c r="D17" s="10">
        <f t="shared" si="1"/>
        <v>2021</v>
      </c>
      <c r="E17" s="305">
        <f t="shared" si="2"/>
        <v>500000</v>
      </c>
      <c r="F17" s="15">
        <v>14</v>
      </c>
      <c r="G17" s="305">
        <f t="shared" si="3"/>
        <v>7000000</v>
      </c>
    </row>
    <row r="18" spans="1:7" x14ac:dyDescent="0.3">
      <c r="A18" s="285"/>
      <c r="B18" s="307" t="s">
        <v>158</v>
      </c>
      <c r="C18" s="36" t="str">
        <f t="shared" si="0"/>
        <v>Hukum</v>
      </c>
      <c r="D18" s="10">
        <f t="shared" si="1"/>
        <v>2020</v>
      </c>
      <c r="E18" s="305">
        <f t="shared" si="2"/>
        <v>350000</v>
      </c>
      <c r="F18" s="15">
        <v>6</v>
      </c>
      <c r="G18" s="305">
        <f t="shared" si="3"/>
        <v>2100000</v>
      </c>
    </row>
    <row r="19" spans="1:7" ht="14.25" thickBot="1" x14ac:dyDescent="0.35">
      <c r="A19" s="285"/>
      <c r="B19" s="401" t="s">
        <v>242</v>
      </c>
      <c r="C19" s="401"/>
      <c r="D19" s="401"/>
      <c r="E19" s="401"/>
      <c r="F19" s="402"/>
      <c r="G19" s="241">
        <f>SUM(G9:G18)</f>
        <v>58200000</v>
      </c>
    </row>
    <row r="20" spans="1:7" x14ac:dyDescent="0.3">
      <c r="B20" s="50"/>
      <c r="C20" s="31"/>
      <c r="D20" s="31"/>
      <c r="E20" s="31"/>
      <c r="F20" s="31"/>
      <c r="G20" s="31"/>
    </row>
    <row r="21" spans="1:7" ht="15.75" thickBot="1" x14ac:dyDescent="0.35">
      <c r="B21" s="242" t="s">
        <v>252</v>
      </c>
      <c r="F21" s="32" t="s">
        <v>254</v>
      </c>
      <c r="G21" s="32"/>
    </row>
    <row r="22" spans="1:7" ht="30" x14ac:dyDescent="0.3">
      <c r="A22" s="285"/>
      <c r="B22" s="308" t="s">
        <v>253</v>
      </c>
      <c r="C22" s="176" t="s">
        <v>144</v>
      </c>
      <c r="D22" s="177" t="s">
        <v>146</v>
      </c>
      <c r="F22" s="175" t="s">
        <v>78</v>
      </c>
      <c r="G22" s="177" t="s">
        <v>145</v>
      </c>
    </row>
    <row r="23" spans="1:7" x14ac:dyDescent="0.3">
      <c r="A23" s="285"/>
      <c r="B23" s="304" t="s">
        <v>243</v>
      </c>
      <c r="C23" s="39" t="s">
        <v>255</v>
      </c>
      <c r="D23" s="41">
        <v>250000</v>
      </c>
      <c r="F23" s="243" t="s">
        <v>244</v>
      </c>
      <c r="G23" s="16">
        <v>2020</v>
      </c>
    </row>
    <row r="24" spans="1:7" x14ac:dyDescent="0.3">
      <c r="A24" s="285"/>
      <c r="B24" s="304" t="s">
        <v>245</v>
      </c>
      <c r="C24" s="39" t="s">
        <v>256</v>
      </c>
      <c r="D24" s="41">
        <v>350000</v>
      </c>
      <c r="F24" s="243" t="s">
        <v>246</v>
      </c>
      <c r="G24" s="16">
        <v>2021</v>
      </c>
    </row>
    <row r="25" spans="1:7" x14ac:dyDescent="0.3">
      <c r="A25" s="285"/>
      <c r="B25" s="304" t="s">
        <v>247</v>
      </c>
      <c r="C25" s="39" t="s">
        <v>257</v>
      </c>
      <c r="D25" s="41">
        <v>300000</v>
      </c>
      <c r="F25" s="243" t="s">
        <v>248</v>
      </c>
      <c r="G25" s="16">
        <v>2022</v>
      </c>
    </row>
    <row r="26" spans="1:7" ht="14.25" thickBot="1" x14ac:dyDescent="0.35">
      <c r="A26" s="285"/>
      <c r="B26" s="304" t="s">
        <v>249</v>
      </c>
      <c r="C26" s="39" t="s">
        <v>258</v>
      </c>
      <c r="D26" s="41">
        <v>500000</v>
      </c>
      <c r="F26" s="244" t="s">
        <v>250</v>
      </c>
      <c r="G26" s="245">
        <v>2023</v>
      </c>
    </row>
    <row r="27" spans="1:7" ht="14.25" thickBot="1" x14ac:dyDescent="0.35">
      <c r="A27" s="285"/>
      <c r="B27" s="270" t="s">
        <v>251</v>
      </c>
      <c r="C27" s="65" t="s">
        <v>259</v>
      </c>
      <c r="D27" s="246">
        <v>500000</v>
      </c>
      <c r="F27" s="247"/>
      <c r="G27" s="247"/>
    </row>
    <row r="28" spans="1:7" x14ac:dyDescent="0.3">
      <c r="B28" s="50"/>
      <c r="C28" s="31"/>
      <c r="D28" s="31"/>
    </row>
    <row r="29" spans="1:7" ht="15" x14ac:dyDescent="0.3">
      <c r="B29" s="32" t="s">
        <v>55</v>
      </c>
    </row>
    <row r="30" spans="1:7" ht="15" x14ac:dyDescent="0.3">
      <c r="B30" s="32" t="s">
        <v>265</v>
      </c>
    </row>
    <row r="31" spans="1:7" ht="15" x14ac:dyDescent="0.3">
      <c r="B31" s="32" t="s">
        <v>266</v>
      </c>
    </row>
    <row r="32" spans="1:7" ht="15" x14ac:dyDescent="0.3">
      <c r="B32" s="30" t="s">
        <v>267</v>
      </c>
    </row>
    <row r="33" spans="1:7" ht="15" x14ac:dyDescent="0.3">
      <c r="B33" s="30" t="s">
        <v>268</v>
      </c>
    </row>
    <row r="35" spans="1:7" ht="14.25" thickBot="1" x14ac:dyDescent="0.35"/>
    <row r="36" spans="1:7" ht="15.75" thickBot="1" x14ac:dyDescent="0.35">
      <c r="A36" s="323" t="s">
        <v>350</v>
      </c>
      <c r="B36" s="324"/>
      <c r="C36" s="325"/>
      <c r="G36" s="228"/>
    </row>
    <row r="37" spans="1:7" x14ac:dyDescent="0.3">
      <c r="G37" s="228"/>
    </row>
    <row r="38" spans="1:7" ht="14.25" thickBot="1" x14ac:dyDescent="0.35">
      <c r="G38" s="228"/>
    </row>
    <row r="39" spans="1:7" ht="14.25" thickBot="1" x14ac:dyDescent="0.35">
      <c r="A39" s="223"/>
      <c r="B39" s="221" t="s">
        <v>331</v>
      </c>
      <c r="C39" s="221" t="s">
        <v>332</v>
      </c>
      <c r="D39" s="221" t="s">
        <v>333</v>
      </c>
      <c r="E39" s="221" t="s">
        <v>85</v>
      </c>
      <c r="F39" s="221" t="s">
        <v>334</v>
      </c>
      <c r="G39" s="221" t="s">
        <v>335</v>
      </c>
    </row>
    <row r="40" spans="1:7" ht="17.25" thickBot="1" x14ac:dyDescent="0.35">
      <c r="A40" s="223">
        <v>1</v>
      </c>
      <c r="B40" s="326" t="s">
        <v>239</v>
      </c>
      <c r="C40" s="327"/>
      <c r="D40" s="327"/>
      <c r="E40" s="327"/>
      <c r="F40" s="327"/>
      <c r="G40" s="328"/>
    </row>
    <row r="41" spans="1:7" ht="17.25" thickBot="1" x14ac:dyDescent="0.35">
      <c r="A41" s="223">
        <v>2</v>
      </c>
      <c r="B41" s="386" t="s">
        <v>240</v>
      </c>
      <c r="C41" s="362"/>
      <c r="D41" s="362"/>
      <c r="E41" s="362"/>
      <c r="F41" s="362"/>
      <c r="G41" s="363"/>
    </row>
    <row r="42" spans="1:7" ht="16.5" thickBot="1" x14ac:dyDescent="0.35">
      <c r="A42" s="223">
        <v>3</v>
      </c>
      <c r="B42" s="395" t="s">
        <v>355</v>
      </c>
      <c r="C42" s="396"/>
      <c r="D42" s="396"/>
      <c r="E42" s="396"/>
      <c r="F42" s="396"/>
      <c r="G42" s="397"/>
    </row>
    <row r="43" spans="1:7" ht="14.25" thickBot="1" x14ac:dyDescent="0.35">
      <c r="A43" s="223">
        <v>4</v>
      </c>
    </row>
    <row r="44" spans="1:7" ht="30.75" thickBot="1" x14ac:dyDescent="0.35">
      <c r="A44" s="223">
        <v>5</v>
      </c>
      <c r="B44" s="1" t="s">
        <v>143</v>
      </c>
      <c r="C44" s="2" t="s">
        <v>144</v>
      </c>
      <c r="D44" s="2" t="s">
        <v>145</v>
      </c>
      <c r="E44" s="2" t="s">
        <v>146</v>
      </c>
      <c r="F44" s="2" t="s">
        <v>147</v>
      </c>
      <c r="G44" s="3" t="s">
        <v>148</v>
      </c>
    </row>
    <row r="45" spans="1:7" ht="14.25" thickBot="1" x14ac:dyDescent="0.35">
      <c r="A45" s="223">
        <v>6</v>
      </c>
      <c r="B45" s="239" t="s">
        <v>149</v>
      </c>
      <c r="C45" s="36" t="str">
        <f>VLOOKUP(LEFT(B45,2),$B$23:$D$27,2)</f>
        <v>Tek. Arsitektur</v>
      </c>
      <c r="D45" s="10">
        <f>VLOOKUP(MID(B45,3,2),$F$23:$G$26,2)</f>
        <v>2022</v>
      </c>
      <c r="E45" s="37">
        <f>VLOOKUP(LEFT(B45,2),$B$23:$D$27,3)</f>
        <v>500000</v>
      </c>
      <c r="F45" s="10">
        <v>20</v>
      </c>
      <c r="G45" s="38">
        <f>E45*F45</f>
        <v>10000000</v>
      </c>
    </row>
    <row r="46" spans="1:7" ht="14.25" thickBot="1" x14ac:dyDescent="0.35">
      <c r="A46" s="223">
        <v>7</v>
      </c>
      <c r="B46" s="240" t="s">
        <v>241</v>
      </c>
      <c r="C46" s="39" t="str">
        <f t="shared" ref="C46:C54" si="4">VLOOKUP(LEFT(B46,2),$B$23:$D$27,2)</f>
        <v>Tek. Sipil</v>
      </c>
      <c r="D46" s="15">
        <f t="shared" ref="D46:D54" si="5">VLOOKUP(MID(B46,3,2),$F$23:$G$26,2)</f>
        <v>2023</v>
      </c>
      <c r="E46" s="40">
        <f t="shared" ref="E46:E54" si="6">VLOOKUP(LEFT(B46,2),$B$23:$D$27,3)</f>
        <v>500000</v>
      </c>
      <c r="F46" s="15">
        <v>21</v>
      </c>
      <c r="G46" s="41">
        <f t="shared" ref="G46:G54" si="7">E46*F46</f>
        <v>10500000</v>
      </c>
    </row>
    <row r="47" spans="1:7" ht="14.25" thickBot="1" x14ac:dyDescent="0.35">
      <c r="A47" s="223">
        <v>8</v>
      </c>
      <c r="B47" s="240" t="s">
        <v>151</v>
      </c>
      <c r="C47" s="39" t="str">
        <f t="shared" si="4"/>
        <v>Hukum</v>
      </c>
      <c r="D47" s="15">
        <f t="shared" si="5"/>
        <v>2020</v>
      </c>
      <c r="E47" s="40">
        <f t="shared" si="6"/>
        <v>350000</v>
      </c>
      <c r="F47" s="15">
        <v>14</v>
      </c>
      <c r="G47" s="41">
        <f t="shared" si="7"/>
        <v>4900000</v>
      </c>
    </row>
    <row r="48" spans="1:7" ht="14.25" thickBot="1" x14ac:dyDescent="0.35">
      <c r="A48" s="223">
        <v>9</v>
      </c>
      <c r="B48" s="240" t="s">
        <v>152</v>
      </c>
      <c r="C48" s="39" t="str">
        <f t="shared" si="4"/>
        <v>Ekonomi</v>
      </c>
      <c r="D48" s="15">
        <f t="shared" si="5"/>
        <v>2021</v>
      </c>
      <c r="E48" s="40">
        <f t="shared" si="6"/>
        <v>250000</v>
      </c>
      <c r="F48" s="15">
        <v>18</v>
      </c>
      <c r="G48" s="41">
        <f t="shared" si="7"/>
        <v>4500000</v>
      </c>
    </row>
    <row r="49" spans="1:7" ht="14.25" thickBot="1" x14ac:dyDescent="0.35">
      <c r="A49" s="223">
        <v>10</v>
      </c>
      <c r="B49" s="240" t="s">
        <v>153</v>
      </c>
      <c r="C49" s="39" t="str">
        <f t="shared" si="4"/>
        <v>Sosial Politik</v>
      </c>
      <c r="D49" s="15">
        <f t="shared" si="5"/>
        <v>2020</v>
      </c>
      <c r="E49" s="40">
        <f t="shared" si="6"/>
        <v>300000</v>
      </c>
      <c r="F49" s="15">
        <v>10</v>
      </c>
      <c r="G49" s="41">
        <f t="shared" si="7"/>
        <v>3000000</v>
      </c>
    </row>
    <row r="50" spans="1:7" ht="14.25" thickBot="1" x14ac:dyDescent="0.35">
      <c r="A50" s="223">
        <v>11</v>
      </c>
      <c r="B50" s="240" t="s">
        <v>154</v>
      </c>
      <c r="C50" s="39" t="str">
        <f t="shared" si="4"/>
        <v>Tek. Sipil</v>
      </c>
      <c r="D50" s="15">
        <f t="shared" si="5"/>
        <v>2022</v>
      </c>
      <c r="E50" s="40">
        <f t="shared" si="6"/>
        <v>500000</v>
      </c>
      <c r="F50" s="15">
        <v>12</v>
      </c>
      <c r="G50" s="41">
        <f t="shared" si="7"/>
        <v>6000000</v>
      </c>
    </row>
    <row r="51" spans="1:7" ht="14.25" thickBot="1" x14ac:dyDescent="0.35">
      <c r="A51" s="223">
        <v>12</v>
      </c>
      <c r="B51" s="240" t="s">
        <v>155</v>
      </c>
      <c r="C51" s="39" t="str">
        <f t="shared" si="4"/>
        <v>Hukum</v>
      </c>
      <c r="D51" s="15">
        <f t="shared" si="5"/>
        <v>2021</v>
      </c>
      <c r="E51" s="40">
        <f t="shared" si="6"/>
        <v>350000</v>
      </c>
      <c r="F51" s="15">
        <v>12</v>
      </c>
      <c r="G51" s="41">
        <f t="shared" si="7"/>
        <v>4200000</v>
      </c>
    </row>
    <row r="52" spans="1:7" ht="14.25" thickBot="1" x14ac:dyDescent="0.35">
      <c r="A52" s="223">
        <v>13</v>
      </c>
      <c r="B52" s="240" t="s">
        <v>156</v>
      </c>
      <c r="C52" s="39" t="str">
        <f t="shared" si="4"/>
        <v>Sosial Politik</v>
      </c>
      <c r="D52" s="15">
        <f t="shared" si="5"/>
        <v>2023</v>
      </c>
      <c r="E52" s="40">
        <f t="shared" si="6"/>
        <v>300000</v>
      </c>
      <c r="F52" s="15">
        <v>20</v>
      </c>
      <c r="G52" s="41">
        <f t="shared" si="7"/>
        <v>6000000</v>
      </c>
    </row>
    <row r="53" spans="1:7" ht="14.25" thickBot="1" x14ac:dyDescent="0.35">
      <c r="A53" s="223">
        <v>14</v>
      </c>
      <c r="B53" s="240" t="s">
        <v>157</v>
      </c>
      <c r="C53" s="39" t="str">
        <f t="shared" si="4"/>
        <v>Tek. Arsitektur</v>
      </c>
      <c r="D53" s="15">
        <f t="shared" si="5"/>
        <v>2021</v>
      </c>
      <c r="E53" s="40">
        <f t="shared" si="6"/>
        <v>500000</v>
      </c>
      <c r="F53" s="15">
        <v>14</v>
      </c>
      <c r="G53" s="41">
        <f t="shared" si="7"/>
        <v>7000000</v>
      </c>
    </row>
    <row r="54" spans="1:7" ht="14.25" thickBot="1" x14ac:dyDescent="0.35">
      <c r="A54" s="223">
        <v>15</v>
      </c>
      <c r="B54" s="240" t="s">
        <v>158</v>
      </c>
      <c r="C54" s="39" t="str">
        <f t="shared" si="4"/>
        <v>Hukum</v>
      </c>
      <c r="D54" s="15">
        <f t="shared" si="5"/>
        <v>2020</v>
      </c>
      <c r="E54" s="40">
        <f t="shared" si="6"/>
        <v>350000</v>
      </c>
      <c r="F54" s="15">
        <v>6</v>
      </c>
      <c r="G54" s="41">
        <f t="shared" si="7"/>
        <v>2100000</v>
      </c>
    </row>
    <row r="55" spans="1:7" ht="14.25" thickBot="1" x14ac:dyDescent="0.35">
      <c r="A55" s="223">
        <v>16</v>
      </c>
      <c r="B55" s="398" t="s">
        <v>242</v>
      </c>
      <c r="C55" s="399"/>
      <c r="D55" s="399"/>
      <c r="E55" s="399"/>
      <c r="F55" s="400"/>
      <c r="G55" s="246">
        <f>SUM(G45:G54)</f>
        <v>58200000</v>
      </c>
    </row>
  </sheetData>
  <mergeCells count="10">
    <mergeCell ref="A1:C1"/>
    <mergeCell ref="A36:C36"/>
    <mergeCell ref="B40:G40"/>
    <mergeCell ref="B42:G42"/>
    <mergeCell ref="B55:F55"/>
    <mergeCell ref="B41:G41"/>
    <mergeCell ref="B4:G4"/>
    <mergeCell ref="B5:G5"/>
    <mergeCell ref="B6:G6"/>
    <mergeCell ref="B19:F19"/>
  </mergeCells>
  <phoneticPr fontId="1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4294967293" vertic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"/>
  <sheetViews>
    <sheetView tabSelected="1" topLeftCell="A13" zoomScaleNormal="100" workbookViewId="0">
      <selection activeCell="O37" sqref="O37"/>
    </sheetView>
  </sheetViews>
  <sheetFormatPr defaultRowHeight="12.75" x14ac:dyDescent="0.3"/>
  <cols>
    <col min="1" max="1" width="3.25" style="193" customWidth="1"/>
    <col min="2" max="2" width="10.375" style="193" customWidth="1"/>
    <col min="3" max="3" width="11.25" style="193" customWidth="1"/>
    <col min="4" max="4" width="4.875" style="193" customWidth="1"/>
    <col min="5" max="5" width="12.75" style="193" bestFit="1" customWidth="1"/>
    <col min="6" max="7" width="5" style="193" customWidth="1"/>
    <col min="8" max="8" width="14.5" style="193" customWidth="1"/>
    <col min="9" max="12" width="10.375" style="193" bestFit="1" customWidth="1"/>
    <col min="13" max="14" width="9.625" style="193" bestFit="1" customWidth="1"/>
    <col min="15" max="15" width="12.375" style="193" customWidth="1"/>
    <col min="16" max="19" width="11.125" style="193" customWidth="1"/>
    <col min="20" max="20" width="11.125" style="193" bestFit="1" customWidth="1"/>
    <col min="21" max="25" width="11.125" style="193" customWidth="1"/>
    <col min="26" max="26" width="10.375" style="193" bestFit="1" customWidth="1"/>
    <col min="27" max="27" width="10.375" style="193" customWidth="1"/>
    <col min="28" max="28" width="14.25" style="193" bestFit="1" customWidth="1"/>
    <col min="29" max="29" width="6.375" style="193" customWidth="1"/>
    <col min="30" max="30" width="11.125" style="193" bestFit="1" customWidth="1"/>
    <col min="31" max="16384" width="9" style="193"/>
  </cols>
  <sheetData>
    <row r="1" spans="1:30" ht="15.75" thickBot="1" x14ac:dyDescent="0.35">
      <c r="A1" s="409" t="s">
        <v>371</v>
      </c>
      <c r="B1" s="410"/>
      <c r="C1" s="30"/>
      <c r="D1" s="30"/>
      <c r="E1" s="30"/>
      <c r="F1" s="30"/>
      <c r="G1" s="30"/>
      <c r="H1" s="30"/>
      <c r="I1" s="30"/>
      <c r="J1" s="30"/>
    </row>
    <row r="2" spans="1:30" ht="13.5" x14ac:dyDescent="0.3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30" ht="12.95" customHeight="1" x14ac:dyDescent="0.3">
      <c r="A3" s="194" t="s">
        <v>269</v>
      </c>
      <c r="B3" s="194"/>
    </row>
    <row r="4" spans="1:30" ht="13.5" x14ac:dyDescent="0.3">
      <c r="A4" s="194" t="s">
        <v>364</v>
      </c>
      <c r="B4" s="194"/>
    </row>
    <row r="5" spans="1:30" ht="14.25" thickBot="1" x14ac:dyDescent="0.35">
      <c r="B5" s="194"/>
      <c r="AB5" s="194" t="s">
        <v>397</v>
      </c>
    </row>
    <row r="6" spans="1:30" ht="12.95" customHeight="1" thickBot="1" x14ac:dyDescent="0.35">
      <c r="A6" s="403" t="s">
        <v>2</v>
      </c>
      <c r="B6" s="405" t="s">
        <v>78</v>
      </c>
      <c r="C6" s="405" t="s">
        <v>171</v>
      </c>
      <c r="D6" s="414" t="s">
        <v>184</v>
      </c>
      <c r="E6" s="414" t="s">
        <v>79</v>
      </c>
      <c r="F6" s="405" t="s">
        <v>271</v>
      </c>
      <c r="G6" s="407" t="s">
        <v>272</v>
      </c>
      <c r="H6" s="405" t="s">
        <v>82</v>
      </c>
      <c r="I6" s="405" t="s">
        <v>173</v>
      </c>
      <c r="J6" s="413" t="s">
        <v>81</v>
      </c>
      <c r="K6" s="413"/>
      <c r="L6" s="413"/>
      <c r="M6" s="413"/>
      <c r="N6" s="414" t="s">
        <v>273</v>
      </c>
      <c r="O6" s="405" t="s">
        <v>174</v>
      </c>
      <c r="P6" s="419" t="s">
        <v>415</v>
      </c>
      <c r="Q6" s="420"/>
      <c r="R6" s="420"/>
      <c r="S6" s="421"/>
      <c r="T6" s="407" t="s">
        <v>402</v>
      </c>
      <c r="U6" s="407" t="s">
        <v>403</v>
      </c>
      <c r="V6" s="407" t="s">
        <v>404</v>
      </c>
      <c r="W6" s="407" t="s">
        <v>412</v>
      </c>
      <c r="X6" s="407" t="s">
        <v>413</v>
      </c>
      <c r="Y6" s="407" t="s">
        <v>414</v>
      </c>
      <c r="Z6" s="405" t="s">
        <v>405</v>
      </c>
      <c r="AA6" s="407" t="s">
        <v>406</v>
      </c>
      <c r="AB6" s="405" t="s">
        <v>176</v>
      </c>
      <c r="AC6" s="411" t="s">
        <v>275</v>
      </c>
    </row>
    <row r="7" spans="1:30" ht="12.95" customHeight="1" thickBot="1" x14ac:dyDescent="0.35">
      <c r="A7" s="404"/>
      <c r="B7" s="406"/>
      <c r="C7" s="406"/>
      <c r="D7" s="415"/>
      <c r="E7" s="415"/>
      <c r="F7" s="406"/>
      <c r="G7" s="408"/>
      <c r="H7" s="406"/>
      <c r="I7" s="406"/>
      <c r="J7" s="192" t="s">
        <v>79</v>
      </c>
      <c r="K7" s="192" t="s">
        <v>177</v>
      </c>
      <c r="L7" s="192" t="s">
        <v>276</v>
      </c>
      <c r="M7" s="192" t="s">
        <v>277</v>
      </c>
      <c r="N7" s="415"/>
      <c r="O7" s="406"/>
      <c r="P7" s="321" t="s">
        <v>416</v>
      </c>
      <c r="Q7" s="321" t="s">
        <v>417</v>
      </c>
      <c r="R7" s="321" t="s">
        <v>419</v>
      </c>
      <c r="S7" s="321" t="s">
        <v>418</v>
      </c>
      <c r="T7" s="408"/>
      <c r="U7" s="408"/>
      <c r="V7" s="408"/>
      <c r="W7" s="408"/>
      <c r="X7" s="408"/>
      <c r="Y7" s="408"/>
      <c r="Z7" s="406"/>
      <c r="AA7" s="408"/>
      <c r="AB7" s="406"/>
      <c r="AC7" s="412"/>
    </row>
    <row r="8" spans="1:30" ht="12.95" customHeight="1" thickBot="1" x14ac:dyDescent="0.35">
      <c r="A8" s="214">
        <v>1</v>
      </c>
      <c r="B8" s="215" t="s">
        <v>278</v>
      </c>
      <c r="C8" s="215" t="s">
        <v>279</v>
      </c>
      <c r="D8" s="216" t="s">
        <v>280</v>
      </c>
      <c r="E8" s="266" t="str">
        <f>IF(LEFT(B8,2)="AD","Administrasi",IF(LEFT(B8,2)="KB","Ka. Bag",IF(LEFT(B8,2)="PD","Pres. Direktur","Staff")))</f>
        <v>Administrasi</v>
      </c>
      <c r="F8" s="216">
        <f>1930+MID(B8,3,2)</f>
        <v>2015</v>
      </c>
      <c r="G8" s="216">
        <f>2025-F8</f>
        <v>10</v>
      </c>
      <c r="H8" s="216" t="str">
        <f t="shared" ref="H8:H17" si="0">IF(MID(B8,5,2)="KW","Kawin","Tidak Kawin")</f>
        <v>Tidak Kawin</v>
      </c>
      <c r="I8" s="272">
        <f t="shared" ref="I8:I17" si="1">VLOOKUP(LEFT(B8,2),$H$20:$L$24,IF(D8="I",2,IF(D8="II",3,IF(D8="III",4,5))),FALSE)</f>
        <v>7000000</v>
      </c>
      <c r="J8" s="272">
        <f t="shared" ref="J8:J17" si="2">VLOOKUP(E8,$B$20:$F$25,2,0)*I8</f>
        <v>210000</v>
      </c>
      <c r="K8" s="272" t="str">
        <f t="shared" ref="K8:K17" si="3">IF(H8="Kawin",3%*I8,"-")</f>
        <v>-</v>
      </c>
      <c r="L8" s="272" t="str">
        <f t="shared" ref="L8:L17" si="4">IF(H8="Kawin",2%*I8,"-")</f>
        <v>-</v>
      </c>
      <c r="M8" s="272" t="str">
        <f t="shared" ref="M8:M17" si="5">IF(H8="Kawin",I8*5%,"-")</f>
        <v>-</v>
      </c>
      <c r="N8" s="272">
        <f t="shared" ref="N8:N17" si="6">IF(G8&gt;=10,I8*25%,"-")</f>
        <v>1750000</v>
      </c>
      <c r="O8" s="272">
        <f>SUM(I8:N8)</f>
        <v>8960000</v>
      </c>
      <c r="P8" s="272">
        <f>(1%*O8)*12</f>
        <v>1075200</v>
      </c>
      <c r="Q8" s="272">
        <f>(2%*O8)*12</f>
        <v>2150400</v>
      </c>
      <c r="R8" s="272">
        <f>(1%*O8)*12</f>
        <v>1075200</v>
      </c>
      <c r="S8" s="272">
        <f>(IF(O8*5%&lt;500000,O8*5%,500000))*12</f>
        <v>5376000</v>
      </c>
      <c r="T8" s="272">
        <f>(12*O8)-P8-Q8-R8-S8</f>
        <v>97843200</v>
      </c>
      <c r="U8" s="272">
        <f>IF(H8="Tidak Kawin",54000000,58500000)</f>
        <v>54000000</v>
      </c>
      <c r="V8" s="272">
        <f t="shared" ref="V8:V17" si="7">T8-U8</f>
        <v>43843200</v>
      </c>
      <c r="W8" s="272">
        <f>IF(V8&gt;60000000,60000000,V8)</f>
        <v>43843200</v>
      </c>
      <c r="X8" s="272">
        <f>IF(V8&gt;250000000,190000000,IF(V8&gt;=60000000,V8-60000000,0))</f>
        <v>0</v>
      </c>
      <c r="Y8" s="272">
        <f>IF(V8&gt;250000000,V8-250000000,0)</f>
        <v>0</v>
      </c>
      <c r="Z8" s="272">
        <f>IF(V8&gt;=250000000,(25%*Y8)+(15%*X8)+(5%*W8),IF(V8&gt;=60000000,(15%*X8)+(5%*W8),5%*W8))</f>
        <v>2192160</v>
      </c>
      <c r="AA8" s="272">
        <f>Z8/12</f>
        <v>182680</v>
      </c>
      <c r="AB8" s="272">
        <f>(T8-Z8)/12</f>
        <v>7970920</v>
      </c>
      <c r="AC8" s="220" t="str">
        <f>IF(RIGHT(B8,1)="K","Kontrak",IF(RIGHT(B8,1)="M","Mutasi","Tetap"))</f>
        <v>Kontrak</v>
      </c>
      <c r="AD8" s="322"/>
    </row>
    <row r="9" spans="1:30" ht="12.95" customHeight="1" thickBot="1" x14ac:dyDescent="0.35">
      <c r="A9" s="181">
        <v>2</v>
      </c>
      <c r="B9" s="182" t="s">
        <v>281</v>
      </c>
      <c r="C9" s="182" t="s">
        <v>282</v>
      </c>
      <c r="D9" s="183" t="s">
        <v>283</v>
      </c>
      <c r="E9" s="266" t="str">
        <f t="shared" ref="E9:E17" si="8">IF(LEFT(B9,2)="AD","Administrasi",IF(LEFT(B9,2)="KB","Ka. Bag",IF(LEFT(B9,2)="PD","Pres. Direktur","Staff")))</f>
        <v>Pres. Direktur</v>
      </c>
      <c r="F9" s="216">
        <f t="shared" ref="F9:F17" si="9">1930+MID(B9,3,2)</f>
        <v>2008</v>
      </c>
      <c r="G9" s="216">
        <f t="shared" ref="G9:G17" si="10">2025-F9</f>
        <v>17</v>
      </c>
      <c r="H9" s="216" t="str">
        <f t="shared" si="0"/>
        <v>Kawin</v>
      </c>
      <c r="I9" s="272">
        <f t="shared" si="1"/>
        <v>22000000</v>
      </c>
      <c r="J9" s="272">
        <f t="shared" si="2"/>
        <v>1100000</v>
      </c>
      <c r="K9" s="272">
        <f t="shared" si="3"/>
        <v>660000</v>
      </c>
      <c r="L9" s="272">
        <f t="shared" si="4"/>
        <v>440000</v>
      </c>
      <c r="M9" s="272">
        <f t="shared" si="5"/>
        <v>1100000</v>
      </c>
      <c r="N9" s="272">
        <f t="shared" si="6"/>
        <v>5500000</v>
      </c>
      <c r="O9" s="272">
        <f>SUM(I9:N9)</f>
        <v>30800000</v>
      </c>
      <c r="P9" s="272">
        <f t="shared" ref="P9:P17" si="11">(1%*O9)*12</f>
        <v>3696000</v>
      </c>
      <c r="Q9" s="272">
        <f t="shared" ref="Q9:Q17" si="12">(2%*O9)*12</f>
        <v>7392000</v>
      </c>
      <c r="R9" s="272">
        <f t="shared" ref="R9:R17" si="13">(1%*O9)*12</f>
        <v>3696000</v>
      </c>
      <c r="S9" s="272">
        <f t="shared" ref="S9:S17" si="14">(IF(O9*5%&lt;500000,O9*5%,500000))*12</f>
        <v>6000000</v>
      </c>
      <c r="T9" s="272">
        <f t="shared" ref="T9:T17" si="15">(12*O9)-P9-Q9-R9-S9</f>
        <v>348816000</v>
      </c>
      <c r="U9" s="272">
        <f>IF(H9="Tidak Kawin",54000000,58500000)</f>
        <v>58500000</v>
      </c>
      <c r="V9" s="272">
        <f t="shared" si="7"/>
        <v>290316000</v>
      </c>
      <c r="W9" s="272">
        <f t="shared" ref="W9:W17" si="16">IF(V9&gt;60000000,60000000,V9)</f>
        <v>60000000</v>
      </c>
      <c r="X9" s="272">
        <f t="shared" ref="X9:X17" si="17">IF(V9&gt;250000000,190000000,IF(V9&gt;=60000000,V9-60000000,0))</f>
        <v>190000000</v>
      </c>
      <c r="Y9" s="272">
        <f t="shared" ref="Y9:Y17" si="18">IF(V9&gt;250000000,V9-250000000,0)</f>
        <v>40316000</v>
      </c>
      <c r="Z9" s="272">
        <f t="shared" ref="Z9:Z17" si="19">IF(V9&gt;=250000000,(25%*Y9)+(15%*X9)+(5%*W9),IF(V9&gt;=60000000,(15%*X9)+(5%*W9),5%*W9))</f>
        <v>41579000</v>
      </c>
      <c r="AA9" s="272">
        <f t="shared" ref="AA9:AA17" si="20">Z9/12</f>
        <v>3464916.6666666665</v>
      </c>
      <c r="AB9" s="272">
        <f t="shared" ref="AB9:AB17" si="21">(T9-Z9)/12</f>
        <v>25603083.333333332</v>
      </c>
      <c r="AC9" s="220" t="str">
        <f>IF(RIGHT(B9,1)="K","Kontrak",IF(RIGHT(B9,1)="M","Mutasi","Tetap"))</f>
        <v>Tetap</v>
      </c>
      <c r="AD9" s="322"/>
    </row>
    <row r="10" spans="1:30" ht="12.95" customHeight="1" thickBot="1" x14ac:dyDescent="0.35">
      <c r="A10" s="181">
        <v>3</v>
      </c>
      <c r="B10" s="182" t="s">
        <v>284</v>
      </c>
      <c r="C10" s="182" t="s">
        <v>124</v>
      </c>
      <c r="D10" s="183" t="s">
        <v>285</v>
      </c>
      <c r="E10" s="266" t="str">
        <f t="shared" si="8"/>
        <v>Ka. Bag</v>
      </c>
      <c r="F10" s="216">
        <f t="shared" si="9"/>
        <v>2010</v>
      </c>
      <c r="G10" s="216">
        <f t="shared" si="10"/>
        <v>15</v>
      </c>
      <c r="H10" s="216" t="str">
        <f t="shared" si="0"/>
        <v>Kawin</v>
      </c>
      <c r="I10" s="272">
        <f t="shared" si="1"/>
        <v>12000000</v>
      </c>
      <c r="J10" s="272">
        <f t="shared" si="2"/>
        <v>480000</v>
      </c>
      <c r="K10" s="272">
        <f t="shared" si="3"/>
        <v>360000</v>
      </c>
      <c r="L10" s="272">
        <f t="shared" si="4"/>
        <v>240000</v>
      </c>
      <c r="M10" s="272">
        <f t="shared" si="5"/>
        <v>600000</v>
      </c>
      <c r="N10" s="272">
        <f t="shared" si="6"/>
        <v>3000000</v>
      </c>
      <c r="O10" s="272">
        <f>SUM(I10:N10)</f>
        <v>16680000</v>
      </c>
      <c r="P10" s="272">
        <f t="shared" si="11"/>
        <v>2001600</v>
      </c>
      <c r="Q10" s="272">
        <f t="shared" si="12"/>
        <v>4003200</v>
      </c>
      <c r="R10" s="272">
        <f t="shared" si="13"/>
        <v>2001600</v>
      </c>
      <c r="S10" s="272">
        <f t="shared" si="14"/>
        <v>6000000</v>
      </c>
      <c r="T10" s="272">
        <f t="shared" si="15"/>
        <v>186153600</v>
      </c>
      <c r="U10" s="272">
        <f>IF(H10="Tidak Kawin",54000000,58500000)</f>
        <v>58500000</v>
      </c>
      <c r="V10" s="272">
        <f t="shared" si="7"/>
        <v>127653600</v>
      </c>
      <c r="W10" s="272">
        <f t="shared" si="16"/>
        <v>60000000</v>
      </c>
      <c r="X10" s="272">
        <f t="shared" si="17"/>
        <v>67653600</v>
      </c>
      <c r="Y10" s="272">
        <f t="shared" si="18"/>
        <v>0</v>
      </c>
      <c r="Z10" s="272">
        <f t="shared" si="19"/>
        <v>13148040</v>
      </c>
      <c r="AA10" s="272">
        <f t="shared" si="20"/>
        <v>1095670</v>
      </c>
      <c r="AB10" s="272">
        <f t="shared" si="21"/>
        <v>14417130</v>
      </c>
      <c r="AC10" s="220" t="str">
        <f>IF(RIGHT(B10,1)="K","Kontrak",IF(RIGHT(B10,1)="M","Mutasi","Tetap"))</f>
        <v>Tetap</v>
      </c>
      <c r="AD10" s="322"/>
    </row>
    <row r="11" spans="1:30" ht="12.95" customHeight="1" thickBot="1" x14ac:dyDescent="0.35">
      <c r="A11" s="181">
        <v>4</v>
      </c>
      <c r="B11" s="182" t="s">
        <v>286</v>
      </c>
      <c r="C11" s="182" t="s">
        <v>287</v>
      </c>
      <c r="D11" s="183" t="s">
        <v>288</v>
      </c>
      <c r="E11" s="266" t="str">
        <f t="shared" si="8"/>
        <v>Staff</v>
      </c>
      <c r="F11" s="216">
        <f t="shared" si="9"/>
        <v>2009</v>
      </c>
      <c r="G11" s="216">
        <f t="shared" si="10"/>
        <v>16</v>
      </c>
      <c r="H11" s="216" t="str">
        <f t="shared" si="0"/>
        <v>Kawin</v>
      </c>
      <c r="I11" s="272">
        <f t="shared" si="1"/>
        <v>6500000</v>
      </c>
      <c r="J11" s="272">
        <f t="shared" si="2"/>
        <v>130000</v>
      </c>
      <c r="K11" s="272">
        <f t="shared" si="3"/>
        <v>195000</v>
      </c>
      <c r="L11" s="272">
        <f t="shared" si="4"/>
        <v>130000</v>
      </c>
      <c r="M11" s="272">
        <f t="shared" si="5"/>
        <v>325000</v>
      </c>
      <c r="N11" s="272">
        <f t="shared" si="6"/>
        <v>1625000</v>
      </c>
      <c r="O11" s="272">
        <f>SUM(I11:N11)</f>
        <v>8905000</v>
      </c>
      <c r="P11" s="272">
        <f t="shared" si="11"/>
        <v>1068600</v>
      </c>
      <c r="Q11" s="272">
        <f t="shared" si="12"/>
        <v>2137200</v>
      </c>
      <c r="R11" s="272">
        <f t="shared" si="13"/>
        <v>1068600</v>
      </c>
      <c r="S11" s="272">
        <f t="shared" si="14"/>
        <v>5343000</v>
      </c>
      <c r="T11" s="272">
        <f t="shared" si="15"/>
        <v>97242600</v>
      </c>
      <c r="U11" s="272">
        <f>IF(H11="Tidak Kawin",54000000,58500000)</f>
        <v>58500000</v>
      </c>
      <c r="V11" s="272">
        <f t="shared" si="7"/>
        <v>38742600</v>
      </c>
      <c r="W11" s="272">
        <f t="shared" si="16"/>
        <v>38742600</v>
      </c>
      <c r="X11" s="272">
        <f t="shared" si="17"/>
        <v>0</v>
      </c>
      <c r="Y11" s="272">
        <f t="shared" si="18"/>
        <v>0</v>
      </c>
      <c r="Z11" s="272">
        <f t="shared" si="19"/>
        <v>1937130</v>
      </c>
      <c r="AA11" s="272">
        <f t="shared" si="20"/>
        <v>161427.5</v>
      </c>
      <c r="AB11" s="272">
        <f t="shared" si="21"/>
        <v>7942122.5</v>
      </c>
      <c r="AC11" s="220" t="str">
        <f>IF(RIGHT(B11,1)="K","Kontrak",IF(RIGHT(B11,1)="M","Mutasi","Tetap"))</f>
        <v>Mutasi</v>
      </c>
      <c r="AD11" s="322"/>
    </row>
    <row r="12" spans="1:30" ht="12.95" customHeight="1" thickBot="1" x14ac:dyDescent="0.35">
      <c r="A12" s="181">
        <v>5</v>
      </c>
      <c r="B12" s="182" t="s">
        <v>289</v>
      </c>
      <c r="C12" s="182" t="s">
        <v>290</v>
      </c>
      <c r="D12" s="183" t="s">
        <v>280</v>
      </c>
      <c r="E12" s="266" t="str">
        <f t="shared" si="8"/>
        <v>Pres. Direktur</v>
      </c>
      <c r="F12" s="216">
        <f t="shared" si="9"/>
        <v>2011</v>
      </c>
      <c r="G12" s="216">
        <f t="shared" si="10"/>
        <v>14</v>
      </c>
      <c r="H12" s="216" t="str">
        <f t="shared" si="0"/>
        <v>Tidak Kawin</v>
      </c>
      <c r="I12" s="272">
        <f t="shared" si="1"/>
        <v>27000000</v>
      </c>
      <c r="J12" s="272">
        <f t="shared" si="2"/>
        <v>1350000</v>
      </c>
      <c r="K12" s="272" t="str">
        <f t="shared" si="3"/>
        <v>-</v>
      </c>
      <c r="L12" s="272" t="str">
        <f t="shared" si="4"/>
        <v>-</v>
      </c>
      <c r="M12" s="272" t="str">
        <f t="shared" si="5"/>
        <v>-</v>
      </c>
      <c r="N12" s="272">
        <f t="shared" si="6"/>
        <v>6750000</v>
      </c>
      <c r="O12" s="272">
        <f>SUM(I12:N12)</f>
        <v>35100000</v>
      </c>
      <c r="P12" s="272">
        <f t="shared" si="11"/>
        <v>4212000</v>
      </c>
      <c r="Q12" s="272">
        <f t="shared" si="12"/>
        <v>8424000</v>
      </c>
      <c r="R12" s="272">
        <f t="shared" si="13"/>
        <v>4212000</v>
      </c>
      <c r="S12" s="272">
        <f t="shared" si="14"/>
        <v>6000000</v>
      </c>
      <c r="T12" s="272">
        <f t="shared" si="15"/>
        <v>398352000</v>
      </c>
      <c r="U12" s="272">
        <f>IF(H12="Tidak Kawin",54000000,58500000)</f>
        <v>54000000</v>
      </c>
      <c r="V12" s="272">
        <f t="shared" si="7"/>
        <v>344352000</v>
      </c>
      <c r="W12" s="272">
        <f t="shared" si="16"/>
        <v>60000000</v>
      </c>
      <c r="X12" s="272">
        <f t="shared" si="17"/>
        <v>190000000</v>
      </c>
      <c r="Y12" s="272">
        <f t="shared" si="18"/>
        <v>94352000</v>
      </c>
      <c r="Z12" s="272">
        <f t="shared" si="19"/>
        <v>55088000</v>
      </c>
      <c r="AA12" s="272">
        <f t="shared" si="20"/>
        <v>4590666.666666667</v>
      </c>
      <c r="AB12" s="272">
        <f t="shared" si="21"/>
        <v>28605333.333333332</v>
      </c>
      <c r="AC12" s="220" t="str">
        <f>IF(RIGHT(B12,1)="K","Kontrak",IF(RIGHT(B12,1)="M","Mutasi","Tetap"))</f>
        <v>Mutasi</v>
      </c>
      <c r="AD12" s="322"/>
    </row>
    <row r="13" spans="1:30" ht="12.95" customHeight="1" thickBot="1" x14ac:dyDescent="0.35">
      <c r="A13" s="181">
        <v>6</v>
      </c>
      <c r="B13" s="182" t="s">
        <v>291</v>
      </c>
      <c r="C13" s="182" t="s">
        <v>292</v>
      </c>
      <c r="D13" s="183" t="s">
        <v>288</v>
      </c>
      <c r="E13" s="266" t="str">
        <f t="shared" si="8"/>
        <v>Administrasi</v>
      </c>
      <c r="F13" s="216">
        <f t="shared" si="9"/>
        <v>2014</v>
      </c>
      <c r="G13" s="216">
        <f t="shared" si="10"/>
        <v>11</v>
      </c>
      <c r="H13" s="216" t="str">
        <f t="shared" si="0"/>
        <v>Tidak Kawin</v>
      </c>
      <c r="I13" s="272">
        <f t="shared" si="1"/>
        <v>8000000</v>
      </c>
      <c r="J13" s="272">
        <f t="shared" si="2"/>
        <v>240000</v>
      </c>
      <c r="K13" s="272" t="str">
        <f t="shared" si="3"/>
        <v>-</v>
      </c>
      <c r="L13" s="272" t="str">
        <f t="shared" si="4"/>
        <v>-</v>
      </c>
      <c r="M13" s="272" t="str">
        <f t="shared" si="5"/>
        <v>-</v>
      </c>
      <c r="N13" s="272">
        <f t="shared" si="6"/>
        <v>2000000</v>
      </c>
      <c r="O13" s="272">
        <f>SUM(I13:N13)</f>
        <v>10240000</v>
      </c>
      <c r="P13" s="272">
        <f t="shared" si="11"/>
        <v>1228800</v>
      </c>
      <c r="Q13" s="272">
        <f t="shared" si="12"/>
        <v>2457600</v>
      </c>
      <c r="R13" s="272">
        <f t="shared" si="13"/>
        <v>1228800</v>
      </c>
      <c r="S13" s="272">
        <f t="shared" si="14"/>
        <v>6000000</v>
      </c>
      <c r="T13" s="272">
        <f t="shared" si="15"/>
        <v>111964800</v>
      </c>
      <c r="U13" s="272">
        <f>IF(H13="Tidak Kawin",54000000,58500000)</f>
        <v>54000000</v>
      </c>
      <c r="V13" s="272">
        <f t="shared" si="7"/>
        <v>57964800</v>
      </c>
      <c r="W13" s="272">
        <f t="shared" si="16"/>
        <v>57964800</v>
      </c>
      <c r="X13" s="272">
        <f t="shared" si="17"/>
        <v>0</v>
      </c>
      <c r="Y13" s="272">
        <f t="shared" si="18"/>
        <v>0</v>
      </c>
      <c r="Z13" s="272">
        <f t="shared" si="19"/>
        <v>2898240</v>
      </c>
      <c r="AA13" s="272">
        <f t="shared" si="20"/>
        <v>241520</v>
      </c>
      <c r="AB13" s="272">
        <f t="shared" si="21"/>
        <v>9088880</v>
      </c>
      <c r="AC13" s="220" t="str">
        <f>IF(RIGHT(B13,1)="K","Kontrak",IF(RIGHT(B13,1)="M","Mutasi","Tetap"))</f>
        <v>Kontrak</v>
      </c>
      <c r="AD13" s="322"/>
    </row>
    <row r="14" spans="1:30" ht="12.95" customHeight="1" thickBot="1" x14ac:dyDescent="0.35">
      <c r="A14" s="181">
        <v>7</v>
      </c>
      <c r="B14" s="182" t="s">
        <v>293</v>
      </c>
      <c r="C14" s="182" t="s">
        <v>294</v>
      </c>
      <c r="D14" s="183" t="s">
        <v>283</v>
      </c>
      <c r="E14" s="266" t="str">
        <f t="shared" si="8"/>
        <v>Administrasi</v>
      </c>
      <c r="F14" s="216">
        <f t="shared" si="9"/>
        <v>2010</v>
      </c>
      <c r="G14" s="216">
        <f t="shared" si="10"/>
        <v>15</v>
      </c>
      <c r="H14" s="216" t="str">
        <f t="shared" si="0"/>
        <v>Kawin</v>
      </c>
      <c r="I14" s="272">
        <f t="shared" si="1"/>
        <v>5000000</v>
      </c>
      <c r="J14" s="272">
        <f t="shared" si="2"/>
        <v>150000</v>
      </c>
      <c r="K14" s="272">
        <f t="shared" si="3"/>
        <v>150000</v>
      </c>
      <c r="L14" s="272">
        <f t="shared" si="4"/>
        <v>100000</v>
      </c>
      <c r="M14" s="272">
        <f t="shared" si="5"/>
        <v>250000</v>
      </c>
      <c r="N14" s="272">
        <f t="shared" si="6"/>
        <v>1250000</v>
      </c>
      <c r="O14" s="272">
        <f>SUM(I14:N14)</f>
        <v>6900000</v>
      </c>
      <c r="P14" s="272">
        <f t="shared" si="11"/>
        <v>828000</v>
      </c>
      <c r="Q14" s="272">
        <f t="shared" si="12"/>
        <v>1656000</v>
      </c>
      <c r="R14" s="272">
        <f t="shared" si="13"/>
        <v>828000</v>
      </c>
      <c r="S14" s="272">
        <f t="shared" si="14"/>
        <v>4140000</v>
      </c>
      <c r="T14" s="272">
        <f t="shared" si="15"/>
        <v>75348000</v>
      </c>
      <c r="U14" s="272">
        <f>IF(H14="Tidak Kawin",54000000,58500000)</f>
        <v>58500000</v>
      </c>
      <c r="V14" s="272">
        <f t="shared" si="7"/>
        <v>16848000</v>
      </c>
      <c r="W14" s="272">
        <f t="shared" si="16"/>
        <v>16848000</v>
      </c>
      <c r="X14" s="272">
        <f t="shared" si="17"/>
        <v>0</v>
      </c>
      <c r="Y14" s="272">
        <f t="shared" si="18"/>
        <v>0</v>
      </c>
      <c r="Z14" s="272">
        <f t="shared" si="19"/>
        <v>842400</v>
      </c>
      <c r="AA14" s="272">
        <f t="shared" si="20"/>
        <v>70200</v>
      </c>
      <c r="AB14" s="272">
        <f t="shared" si="21"/>
        <v>6208800</v>
      </c>
      <c r="AC14" s="220" t="str">
        <f>IF(RIGHT(B14,1)="K","Kontrak",IF(RIGHT(B14,1)="M","Mutasi","Tetap"))</f>
        <v>Mutasi</v>
      </c>
      <c r="AD14" s="322"/>
    </row>
    <row r="15" spans="1:30" ht="12.95" customHeight="1" thickBot="1" x14ac:dyDescent="0.35">
      <c r="A15" s="181">
        <v>8</v>
      </c>
      <c r="B15" s="182" t="s">
        <v>295</v>
      </c>
      <c r="C15" s="182" t="s">
        <v>296</v>
      </c>
      <c r="D15" s="183" t="s">
        <v>285</v>
      </c>
      <c r="E15" s="266" t="str">
        <f t="shared" si="8"/>
        <v>Staff</v>
      </c>
      <c r="F15" s="216">
        <f t="shared" si="9"/>
        <v>2020</v>
      </c>
      <c r="G15" s="216">
        <f t="shared" si="10"/>
        <v>5</v>
      </c>
      <c r="H15" s="216" t="str">
        <f t="shared" si="0"/>
        <v>Tidak Kawin</v>
      </c>
      <c r="I15" s="272">
        <f t="shared" si="1"/>
        <v>5500000</v>
      </c>
      <c r="J15" s="272">
        <f t="shared" si="2"/>
        <v>110000</v>
      </c>
      <c r="K15" s="272" t="str">
        <f t="shared" si="3"/>
        <v>-</v>
      </c>
      <c r="L15" s="272" t="str">
        <f t="shared" si="4"/>
        <v>-</v>
      </c>
      <c r="M15" s="272" t="str">
        <f t="shared" si="5"/>
        <v>-</v>
      </c>
      <c r="N15" s="272" t="str">
        <f t="shared" si="6"/>
        <v>-</v>
      </c>
      <c r="O15" s="272">
        <f>SUM(I15:N15)</f>
        <v>5610000</v>
      </c>
      <c r="P15" s="272">
        <f t="shared" si="11"/>
        <v>673200</v>
      </c>
      <c r="Q15" s="272">
        <f t="shared" si="12"/>
        <v>1346400</v>
      </c>
      <c r="R15" s="272">
        <f t="shared" si="13"/>
        <v>673200</v>
      </c>
      <c r="S15" s="272">
        <f t="shared" si="14"/>
        <v>3366000</v>
      </c>
      <c r="T15" s="272">
        <f t="shared" si="15"/>
        <v>61261200</v>
      </c>
      <c r="U15" s="272">
        <f>IF(H15="Tidak Kawin",54000000,58500000)</f>
        <v>54000000</v>
      </c>
      <c r="V15" s="272">
        <f t="shared" si="7"/>
        <v>7261200</v>
      </c>
      <c r="W15" s="272">
        <f t="shared" si="16"/>
        <v>7261200</v>
      </c>
      <c r="X15" s="272">
        <f t="shared" si="17"/>
        <v>0</v>
      </c>
      <c r="Y15" s="272">
        <f t="shared" si="18"/>
        <v>0</v>
      </c>
      <c r="Z15" s="272">
        <f t="shared" si="19"/>
        <v>363060</v>
      </c>
      <c r="AA15" s="272">
        <f t="shared" si="20"/>
        <v>30255</v>
      </c>
      <c r="AB15" s="272">
        <f t="shared" si="21"/>
        <v>5074845</v>
      </c>
      <c r="AC15" s="220" t="str">
        <f>IF(RIGHT(B15,1)="K","Kontrak",IF(RIGHT(B15,1)="M","Mutasi","Tetap"))</f>
        <v>Kontrak</v>
      </c>
      <c r="AD15" s="322"/>
    </row>
    <row r="16" spans="1:30" ht="12.95" customHeight="1" thickBot="1" x14ac:dyDescent="0.35">
      <c r="A16" s="181">
        <v>9</v>
      </c>
      <c r="B16" s="182" t="s">
        <v>297</v>
      </c>
      <c r="C16" s="182" t="s">
        <v>298</v>
      </c>
      <c r="D16" s="183" t="s">
        <v>280</v>
      </c>
      <c r="E16" s="266" t="str">
        <f t="shared" si="8"/>
        <v>Ka. Bag</v>
      </c>
      <c r="F16" s="216">
        <f t="shared" si="9"/>
        <v>2017</v>
      </c>
      <c r="G16" s="216">
        <f t="shared" si="10"/>
        <v>8</v>
      </c>
      <c r="H16" s="216" t="str">
        <f t="shared" si="0"/>
        <v>Kawin</v>
      </c>
      <c r="I16" s="272">
        <f t="shared" si="1"/>
        <v>15000000</v>
      </c>
      <c r="J16" s="272">
        <f t="shared" si="2"/>
        <v>600000</v>
      </c>
      <c r="K16" s="272">
        <f t="shared" si="3"/>
        <v>450000</v>
      </c>
      <c r="L16" s="272">
        <f t="shared" si="4"/>
        <v>300000</v>
      </c>
      <c r="M16" s="272">
        <f t="shared" si="5"/>
        <v>750000</v>
      </c>
      <c r="N16" s="272" t="str">
        <f t="shared" si="6"/>
        <v>-</v>
      </c>
      <c r="O16" s="272">
        <f>SUM(I16:N16)</f>
        <v>17100000</v>
      </c>
      <c r="P16" s="272">
        <f t="shared" si="11"/>
        <v>2052000</v>
      </c>
      <c r="Q16" s="272">
        <f t="shared" si="12"/>
        <v>4104000</v>
      </c>
      <c r="R16" s="272">
        <f t="shared" si="13"/>
        <v>2052000</v>
      </c>
      <c r="S16" s="272">
        <f t="shared" si="14"/>
        <v>6000000</v>
      </c>
      <c r="T16" s="272">
        <f t="shared" si="15"/>
        <v>190992000</v>
      </c>
      <c r="U16" s="272">
        <f>IF(H16="Tidak Kawin",54000000,58500000)</f>
        <v>58500000</v>
      </c>
      <c r="V16" s="272">
        <f t="shared" si="7"/>
        <v>132492000</v>
      </c>
      <c r="W16" s="272">
        <f t="shared" si="16"/>
        <v>60000000</v>
      </c>
      <c r="X16" s="272">
        <f t="shared" si="17"/>
        <v>72492000</v>
      </c>
      <c r="Y16" s="272">
        <f t="shared" si="18"/>
        <v>0</v>
      </c>
      <c r="Z16" s="272">
        <f t="shared" si="19"/>
        <v>13873800</v>
      </c>
      <c r="AA16" s="272">
        <f t="shared" si="20"/>
        <v>1156150</v>
      </c>
      <c r="AB16" s="272">
        <f t="shared" si="21"/>
        <v>14759850</v>
      </c>
      <c r="AC16" s="220" t="str">
        <f>IF(RIGHT(B16,1)="K","Kontrak",IF(RIGHT(B16,1)="M","Mutasi","Tetap"))</f>
        <v>Tetap</v>
      </c>
      <c r="AD16" s="322"/>
    </row>
    <row r="17" spans="1:30" ht="15.75" thickBot="1" x14ac:dyDescent="0.35">
      <c r="A17" s="186">
        <v>10</v>
      </c>
      <c r="B17" s="187" t="s">
        <v>299</v>
      </c>
      <c r="C17" s="187" t="s">
        <v>300</v>
      </c>
      <c r="D17" s="188" t="s">
        <v>285</v>
      </c>
      <c r="E17" s="266" t="str">
        <f t="shared" si="8"/>
        <v>Staff</v>
      </c>
      <c r="F17" s="216">
        <f t="shared" si="9"/>
        <v>2022</v>
      </c>
      <c r="G17" s="216">
        <f t="shared" si="10"/>
        <v>3</v>
      </c>
      <c r="H17" s="216" t="str">
        <f t="shared" si="0"/>
        <v>Kawin</v>
      </c>
      <c r="I17" s="272">
        <f t="shared" si="1"/>
        <v>5500000</v>
      </c>
      <c r="J17" s="272">
        <f t="shared" si="2"/>
        <v>110000</v>
      </c>
      <c r="K17" s="272">
        <f t="shared" si="3"/>
        <v>165000</v>
      </c>
      <c r="L17" s="272">
        <f t="shared" si="4"/>
        <v>110000</v>
      </c>
      <c r="M17" s="272">
        <f t="shared" si="5"/>
        <v>275000</v>
      </c>
      <c r="N17" s="272" t="str">
        <f t="shared" si="6"/>
        <v>-</v>
      </c>
      <c r="O17" s="272">
        <f>SUM(I17:N17)</f>
        <v>6160000</v>
      </c>
      <c r="P17" s="272">
        <f t="shared" si="11"/>
        <v>739200</v>
      </c>
      <c r="Q17" s="272">
        <f t="shared" si="12"/>
        <v>1478400</v>
      </c>
      <c r="R17" s="272">
        <f t="shared" si="13"/>
        <v>739200</v>
      </c>
      <c r="S17" s="272">
        <f t="shared" si="14"/>
        <v>3696000</v>
      </c>
      <c r="T17" s="272">
        <f t="shared" si="15"/>
        <v>67267200</v>
      </c>
      <c r="U17" s="272">
        <f>IF(H17="Tidak Kawin",54000000,58500000)</f>
        <v>58500000</v>
      </c>
      <c r="V17" s="272">
        <f t="shared" si="7"/>
        <v>8767200</v>
      </c>
      <c r="W17" s="272">
        <f t="shared" si="16"/>
        <v>8767200</v>
      </c>
      <c r="X17" s="272">
        <f t="shared" si="17"/>
        <v>0</v>
      </c>
      <c r="Y17" s="272">
        <f t="shared" si="18"/>
        <v>0</v>
      </c>
      <c r="Z17" s="272">
        <f t="shared" si="19"/>
        <v>438360</v>
      </c>
      <c r="AA17" s="272">
        <f t="shared" si="20"/>
        <v>36530</v>
      </c>
      <c r="AB17" s="272">
        <f t="shared" si="21"/>
        <v>5569070</v>
      </c>
      <c r="AC17" s="220" t="str">
        <f>IF(RIGHT(B17,1)="K","Kontrak",IF(RIGHT(B17,1)="M","Mutasi","Tetap"))</f>
        <v>Tetap</v>
      </c>
      <c r="AD17" s="322"/>
    </row>
    <row r="19" spans="1:30" ht="14.25" thickBot="1" x14ac:dyDescent="0.35">
      <c r="B19" s="196" t="s">
        <v>309</v>
      </c>
      <c r="C19" s="196"/>
      <c r="D19" s="196"/>
      <c r="E19" s="196"/>
      <c r="F19" s="196"/>
      <c r="G19" s="196"/>
      <c r="H19" s="194" t="s">
        <v>314</v>
      </c>
    </row>
    <row r="20" spans="1:30" ht="12" customHeight="1" thickBot="1" x14ac:dyDescent="0.35">
      <c r="B20" s="416" t="s">
        <v>79</v>
      </c>
      <c r="C20" s="413" t="s">
        <v>81</v>
      </c>
      <c r="D20" s="413"/>
      <c r="E20" s="413"/>
      <c r="F20" s="418"/>
      <c r="G20" s="271"/>
      <c r="H20" s="209" t="s">
        <v>78</v>
      </c>
      <c r="I20" s="191" t="s">
        <v>288</v>
      </c>
      <c r="J20" s="191" t="s">
        <v>280</v>
      </c>
      <c r="K20" s="191" t="s">
        <v>285</v>
      </c>
      <c r="L20" s="206" t="s">
        <v>283</v>
      </c>
    </row>
    <row r="21" spans="1:30" ht="12" customHeight="1" thickBot="1" x14ac:dyDescent="0.35">
      <c r="B21" s="417"/>
      <c r="C21" s="192" t="s">
        <v>79</v>
      </c>
      <c r="D21" s="192" t="s">
        <v>276</v>
      </c>
      <c r="E21" s="192" t="s">
        <v>177</v>
      </c>
      <c r="F21" s="208" t="s">
        <v>277</v>
      </c>
      <c r="G21" s="271"/>
      <c r="H21" s="210" t="s">
        <v>315</v>
      </c>
      <c r="I21" s="180">
        <v>8000000</v>
      </c>
      <c r="J21" s="180">
        <v>7000000</v>
      </c>
      <c r="K21" s="180">
        <v>6000000</v>
      </c>
      <c r="L21" s="203">
        <v>5000000</v>
      </c>
    </row>
    <row r="22" spans="1:30" ht="12" customHeight="1" x14ac:dyDescent="0.3">
      <c r="B22" s="178" t="s">
        <v>310</v>
      </c>
      <c r="C22" s="197">
        <v>0.03</v>
      </c>
      <c r="D22" s="197">
        <v>0.02</v>
      </c>
      <c r="E22" s="197">
        <v>0.03</v>
      </c>
      <c r="F22" s="198">
        <v>0.05</v>
      </c>
      <c r="G22" s="269"/>
      <c r="H22" s="211" t="s">
        <v>316</v>
      </c>
      <c r="I22" s="184">
        <v>17000000</v>
      </c>
      <c r="J22" s="184">
        <v>15000000</v>
      </c>
      <c r="K22" s="184">
        <v>12000000</v>
      </c>
      <c r="L22" s="204">
        <v>10000000</v>
      </c>
    </row>
    <row r="23" spans="1:30" ht="12" customHeight="1" x14ac:dyDescent="0.3">
      <c r="B23" s="181" t="s">
        <v>311</v>
      </c>
      <c r="C23" s="199">
        <v>0.04</v>
      </c>
      <c r="D23" s="199">
        <v>0.02</v>
      </c>
      <c r="E23" s="199">
        <v>0.03</v>
      </c>
      <c r="F23" s="200">
        <v>0.05</v>
      </c>
      <c r="G23" s="269"/>
      <c r="H23" s="211" t="s">
        <v>317</v>
      </c>
      <c r="I23" s="184">
        <v>30000000</v>
      </c>
      <c r="J23" s="184">
        <v>27000000</v>
      </c>
      <c r="K23" s="184">
        <v>25000000</v>
      </c>
      <c r="L23" s="204">
        <v>22000000</v>
      </c>
    </row>
    <row r="24" spans="1:30" ht="12" customHeight="1" thickBot="1" x14ac:dyDescent="0.35">
      <c r="B24" s="181" t="s">
        <v>312</v>
      </c>
      <c r="C24" s="199">
        <v>0.05</v>
      </c>
      <c r="D24" s="199">
        <v>0.02</v>
      </c>
      <c r="E24" s="199">
        <v>0.03</v>
      </c>
      <c r="F24" s="200">
        <v>0.05</v>
      </c>
      <c r="G24" s="269"/>
      <c r="H24" s="207" t="s">
        <v>318</v>
      </c>
      <c r="I24" s="189">
        <v>6500000</v>
      </c>
      <c r="J24" s="189">
        <v>6000000</v>
      </c>
      <c r="K24" s="189">
        <v>5500000</v>
      </c>
      <c r="L24" s="205">
        <v>5000000</v>
      </c>
    </row>
    <row r="25" spans="1:30" ht="12" customHeight="1" thickBot="1" x14ac:dyDescent="0.35">
      <c r="B25" s="186" t="s">
        <v>313</v>
      </c>
      <c r="C25" s="201">
        <v>0.02</v>
      </c>
      <c r="D25" s="201">
        <v>0.02</v>
      </c>
      <c r="E25" s="201">
        <v>0.03</v>
      </c>
      <c r="F25" s="202">
        <v>0.05</v>
      </c>
      <c r="G25" s="269"/>
    </row>
    <row r="26" spans="1:30" ht="9.9499999999999993" customHeight="1" x14ac:dyDescent="0.3"/>
    <row r="27" spans="1:30" ht="12.95" customHeight="1" x14ac:dyDescent="0.3">
      <c r="A27" s="194" t="s">
        <v>55</v>
      </c>
    </row>
    <row r="28" spans="1:30" ht="12.95" customHeight="1" x14ac:dyDescent="0.3">
      <c r="B28" s="194" t="s">
        <v>304</v>
      </c>
      <c r="H28" s="194" t="s">
        <v>319</v>
      </c>
      <c r="M28" s="194" t="s">
        <v>423</v>
      </c>
    </row>
    <row r="29" spans="1:30" ht="12.95" customHeight="1" x14ac:dyDescent="0.3">
      <c r="B29" s="193" t="s">
        <v>301</v>
      </c>
      <c r="H29" s="194" t="s">
        <v>320</v>
      </c>
      <c r="M29" s="193" t="s">
        <v>424</v>
      </c>
    </row>
    <row r="30" spans="1:30" ht="12.95" customHeight="1" x14ac:dyDescent="0.3">
      <c r="B30" s="193" t="s">
        <v>190</v>
      </c>
      <c r="H30" s="194" t="s">
        <v>321</v>
      </c>
      <c r="M30" s="194" t="s">
        <v>410</v>
      </c>
    </row>
    <row r="31" spans="1:30" ht="12.95" customHeight="1" x14ac:dyDescent="0.3">
      <c r="B31" s="193" t="s">
        <v>302</v>
      </c>
      <c r="H31" s="193" t="s">
        <v>322</v>
      </c>
      <c r="M31" s="194" t="s">
        <v>420</v>
      </c>
    </row>
    <row r="32" spans="1:30" ht="12.95" customHeight="1" x14ac:dyDescent="0.3">
      <c r="B32" s="193" t="s">
        <v>303</v>
      </c>
      <c r="H32" s="193" t="s">
        <v>323</v>
      </c>
      <c r="M32" s="193" t="s">
        <v>421</v>
      </c>
    </row>
    <row r="33" spans="1:29" ht="12.95" customHeight="1" x14ac:dyDescent="0.3">
      <c r="A33" s="195"/>
      <c r="B33" s="194" t="s">
        <v>422</v>
      </c>
      <c r="H33" s="194" t="s">
        <v>324</v>
      </c>
      <c r="M33" s="194" t="s">
        <v>411</v>
      </c>
    </row>
    <row r="34" spans="1:29" ht="12.95" customHeight="1" x14ac:dyDescent="0.3">
      <c r="B34" s="194" t="s">
        <v>305</v>
      </c>
      <c r="H34" s="193" t="s">
        <v>396</v>
      </c>
      <c r="M34" s="194" t="s">
        <v>326</v>
      </c>
    </row>
    <row r="35" spans="1:29" ht="12.95" customHeight="1" x14ac:dyDescent="0.3">
      <c r="B35" s="194" t="s">
        <v>308</v>
      </c>
      <c r="H35" s="193" t="s">
        <v>401</v>
      </c>
      <c r="M35" s="193" t="s">
        <v>327</v>
      </c>
    </row>
    <row r="36" spans="1:29" ht="12.95" customHeight="1" x14ac:dyDescent="0.3">
      <c r="B36" s="193" t="s">
        <v>306</v>
      </c>
      <c r="H36" s="194" t="s">
        <v>325</v>
      </c>
      <c r="M36" s="193" t="s">
        <v>328</v>
      </c>
    </row>
    <row r="37" spans="1:29" ht="12.95" customHeight="1" x14ac:dyDescent="0.3">
      <c r="B37" s="193" t="s">
        <v>307</v>
      </c>
      <c r="H37" s="194" t="s">
        <v>407</v>
      </c>
      <c r="M37" s="193" t="s">
        <v>329</v>
      </c>
    </row>
    <row r="38" spans="1:29" ht="12.95" customHeight="1" x14ac:dyDescent="0.3">
      <c r="H38" s="193" t="s">
        <v>408</v>
      </c>
      <c r="I38" s="193" t="s">
        <v>409</v>
      </c>
    </row>
    <row r="39" spans="1:29" ht="12.95" customHeight="1" thickBot="1" x14ac:dyDescent="0.35"/>
    <row r="40" spans="1:29" ht="12.95" customHeight="1" thickBot="1" x14ac:dyDescent="0.35">
      <c r="A40" s="324" t="s">
        <v>371</v>
      </c>
      <c r="B40" s="325"/>
    </row>
    <row r="41" spans="1:29" ht="14.25" thickBot="1" x14ac:dyDescent="0.35">
      <c r="B41" s="194"/>
    </row>
    <row r="42" spans="1:29" ht="14.25" thickBot="1" x14ac:dyDescent="0.35">
      <c r="A42" s="221" t="s">
        <v>331</v>
      </c>
      <c r="B42" s="221" t="s">
        <v>332</v>
      </c>
      <c r="C42" s="221" t="s">
        <v>333</v>
      </c>
      <c r="D42" s="221" t="s">
        <v>85</v>
      </c>
      <c r="E42" s="221" t="s">
        <v>334</v>
      </c>
      <c r="F42" s="221" t="s">
        <v>335</v>
      </c>
      <c r="G42" s="221" t="s">
        <v>338</v>
      </c>
      <c r="H42" s="221" t="s">
        <v>339</v>
      </c>
      <c r="I42" s="221" t="s">
        <v>288</v>
      </c>
      <c r="J42" s="221" t="s">
        <v>343</v>
      </c>
      <c r="K42" s="221" t="s">
        <v>89</v>
      </c>
      <c r="L42" s="221" t="s">
        <v>346</v>
      </c>
      <c r="M42" s="221" t="s">
        <v>347</v>
      </c>
      <c r="N42" s="221" t="s">
        <v>348</v>
      </c>
      <c r="O42" s="221" t="s">
        <v>351</v>
      </c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 t="s">
        <v>91</v>
      </c>
      <c r="AA42" s="221"/>
      <c r="AB42" s="221" t="s">
        <v>352</v>
      </c>
      <c r="AC42" s="221" t="s">
        <v>353</v>
      </c>
    </row>
    <row r="43" spans="1:29" ht="15" x14ac:dyDescent="0.3">
      <c r="A43" s="230" t="s">
        <v>269</v>
      </c>
      <c r="B43" s="194"/>
    </row>
    <row r="44" spans="1:29" ht="15" x14ac:dyDescent="0.3">
      <c r="A44" s="230" t="s">
        <v>270</v>
      </c>
      <c r="B44" s="194"/>
    </row>
    <row r="45" spans="1:29" ht="8.1" customHeight="1" thickBot="1" x14ac:dyDescent="0.35">
      <c r="B45" s="194"/>
      <c r="AB45" s="194" t="s">
        <v>360</v>
      </c>
    </row>
    <row r="46" spans="1:29" ht="11.25" customHeight="1" thickBot="1" x14ac:dyDescent="0.35">
      <c r="A46" s="403" t="s">
        <v>2</v>
      </c>
      <c r="B46" s="405" t="s">
        <v>78</v>
      </c>
      <c r="C46" s="405" t="s">
        <v>171</v>
      </c>
      <c r="D46" s="414" t="s">
        <v>184</v>
      </c>
      <c r="E46" s="414" t="s">
        <v>79</v>
      </c>
      <c r="F46" s="405" t="s">
        <v>271</v>
      </c>
      <c r="G46" s="407" t="s">
        <v>272</v>
      </c>
      <c r="H46" s="405" t="s">
        <v>82</v>
      </c>
      <c r="I46" s="405" t="s">
        <v>173</v>
      </c>
      <c r="J46" s="413" t="s">
        <v>81</v>
      </c>
      <c r="K46" s="413"/>
      <c r="L46" s="413"/>
      <c r="M46" s="413"/>
      <c r="N46" s="414" t="s">
        <v>273</v>
      </c>
      <c r="O46" s="405" t="s">
        <v>174</v>
      </c>
      <c r="P46" s="320"/>
      <c r="Q46" s="320"/>
      <c r="R46" s="320"/>
      <c r="S46" s="320"/>
      <c r="T46" s="267"/>
      <c r="U46" s="267"/>
      <c r="V46" s="267"/>
      <c r="W46" s="282"/>
      <c r="X46" s="282"/>
      <c r="Y46" s="282"/>
      <c r="Z46" s="405" t="s">
        <v>274</v>
      </c>
      <c r="AA46" s="267"/>
      <c r="AB46" s="405" t="s">
        <v>176</v>
      </c>
      <c r="AC46" s="411" t="s">
        <v>275</v>
      </c>
    </row>
    <row r="47" spans="1:29" ht="15.75" customHeight="1" thickBot="1" x14ac:dyDescent="0.35">
      <c r="A47" s="404"/>
      <c r="B47" s="406"/>
      <c r="C47" s="406"/>
      <c r="D47" s="415"/>
      <c r="E47" s="415"/>
      <c r="F47" s="406"/>
      <c r="G47" s="408"/>
      <c r="H47" s="406"/>
      <c r="I47" s="406"/>
      <c r="J47" s="192" t="s">
        <v>79</v>
      </c>
      <c r="K47" s="192" t="s">
        <v>177</v>
      </c>
      <c r="L47" s="192" t="s">
        <v>276</v>
      </c>
      <c r="M47" s="192" t="s">
        <v>277</v>
      </c>
      <c r="N47" s="415"/>
      <c r="O47" s="406"/>
      <c r="P47" s="321"/>
      <c r="Q47" s="321"/>
      <c r="R47" s="321"/>
      <c r="S47" s="321"/>
      <c r="T47" s="268"/>
      <c r="U47" s="268"/>
      <c r="V47" s="268"/>
      <c r="W47" s="283"/>
      <c r="X47" s="283"/>
      <c r="Y47" s="283"/>
      <c r="Z47" s="406"/>
      <c r="AA47" s="268"/>
      <c r="AB47" s="406"/>
      <c r="AC47" s="412"/>
    </row>
    <row r="48" spans="1:29" ht="12.95" customHeight="1" thickBot="1" x14ac:dyDescent="0.35">
      <c r="A48" s="214">
        <v>1</v>
      </c>
      <c r="B48" s="215" t="s">
        <v>278</v>
      </c>
      <c r="C48" s="215" t="s">
        <v>279</v>
      </c>
      <c r="D48" s="216" t="s">
        <v>280</v>
      </c>
      <c r="E48" s="215" t="str">
        <f>IF(LEFT(B48,2)="AD","Administrasi",IF(LEFT(B48,2)="KB","Ka. Bagian",IF(LEFT(B48,2)="PD","Pres. Direktur","Staff")))</f>
        <v>Administrasi</v>
      </c>
      <c r="F48" s="216">
        <f>MID(B48,3,2)+1900</f>
        <v>1985</v>
      </c>
      <c r="G48" s="216">
        <f>2009-F48</f>
        <v>24</v>
      </c>
      <c r="H48" s="215" t="str">
        <f t="shared" ref="H48:H57" si="22">IF(MID(B48,5,2)="TK","Blm Kawin","Kawin")</f>
        <v>Blm Kawin</v>
      </c>
      <c r="I48" s="217">
        <f t="shared" ref="I48:I57" si="23">VLOOKUP(LEFT(B48,2),$H$21:$L$24,IF(D48="I",2,IF(D48="II",3,IF(D48="III",4,5))))</f>
        <v>7000000</v>
      </c>
      <c r="J48" s="212">
        <f t="shared" ref="J48:J57" si="24">VLOOKUP(E48,$B$22:$F$25,2)*I48</f>
        <v>210000</v>
      </c>
      <c r="K48" s="212">
        <f t="shared" ref="K48:K57" si="25">IF(H48="Blm Kawin",0,VLOOKUP(E48,$B$22:$F$25,4))*I48</f>
        <v>0</v>
      </c>
      <c r="L48" s="212">
        <f t="shared" ref="L48:L57" si="26">IF(H48="Blm Kawin",0,VLOOKUP(E48,$B$22:$F$25,3)*I48)</f>
        <v>0</v>
      </c>
      <c r="M48" s="212">
        <f t="shared" ref="M48:M56" si="27">IF(H48="Blm Kawin",0,VLOOKUP(E48,$B$22:$F$25,5)*I48)</f>
        <v>0</v>
      </c>
      <c r="N48" s="212">
        <f t="shared" ref="N48:N57" si="28">IF(G48&gt;=20,25%*I48,0)</f>
        <v>1750000</v>
      </c>
      <c r="O48" s="212">
        <f>SUM(I48:N48)</f>
        <v>8960000</v>
      </c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>
        <f>10%*O48</f>
        <v>896000</v>
      </c>
      <c r="AA48" s="212"/>
      <c r="AB48" s="212">
        <f>O48-Z48</f>
        <v>8064000</v>
      </c>
      <c r="AC48" s="218" t="str">
        <f>IF(RIGHT(B48,1)="K","Kontrak",IF(RIGHT(B48,1)="T","Tetap","Mutasi"))</f>
        <v>Kontrak</v>
      </c>
    </row>
    <row r="49" spans="1:29" ht="12.95" customHeight="1" thickBot="1" x14ac:dyDescent="0.35">
      <c r="A49" s="181">
        <v>2</v>
      </c>
      <c r="B49" s="182" t="s">
        <v>281</v>
      </c>
      <c r="C49" s="182" t="s">
        <v>282</v>
      </c>
      <c r="D49" s="183" t="s">
        <v>283</v>
      </c>
      <c r="E49" s="182" t="str">
        <f t="shared" ref="E49:E57" si="29">IF(LEFT(B49,2)="AD","Administrasi",IF(LEFT(B49,2)="KB","Ka. Bagian",IF(LEFT(B49,2)="PD","Pres. Direktur","Staff")))</f>
        <v>Pres. Direktur</v>
      </c>
      <c r="F49" s="183">
        <f t="shared" ref="F49:F57" si="30">MID(B49,3,2)+1900</f>
        <v>1978</v>
      </c>
      <c r="G49" s="216">
        <f t="shared" ref="G49:G57" si="31">2009-F49</f>
        <v>31</v>
      </c>
      <c r="H49" s="182" t="str">
        <f t="shared" si="22"/>
        <v>Kawin</v>
      </c>
      <c r="I49" s="179">
        <f t="shared" si="23"/>
        <v>22000000</v>
      </c>
      <c r="J49" s="180">
        <f t="shared" si="24"/>
        <v>1100000</v>
      </c>
      <c r="K49" s="180">
        <f t="shared" si="25"/>
        <v>660000</v>
      </c>
      <c r="L49" s="180">
        <f t="shared" si="26"/>
        <v>440000</v>
      </c>
      <c r="M49" s="180">
        <f t="shared" si="27"/>
        <v>1100000</v>
      </c>
      <c r="N49" s="212">
        <f t="shared" si="28"/>
        <v>5500000</v>
      </c>
      <c r="O49" s="180">
        <f>SUM(I49:N49)</f>
        <v>30800000</v>
      </c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4">
        <f>10%*O49</f>
        <v>3080000</v>
      </c>
      <c r="AA49" s="184"/>
      <c r="AB49" s="184">
        <f>O49-Z49</f>
        <v>27720000</v>
      </c>
      <c r="AC49" s="185" t="str">
        <f>IF(RIGHT(B49,1)="K","Kontrak",IF(RIGHT(B49,1)="T","Tetap","Mutasi"))</f>
        <v>Tetap</v>
      </c>
    </row>
    <row r="50" spans="1:29" ht="12.95" customHeight="1" thickBot="1" x14ac:dyDescent="0.35">
      <c r="A50" s="181">
        <v>3</v>
      </c>
      <c r="B50" s="182" t="s">
        <v>284</v>
      </c>
      <c r="C50" s="182" t="s">
        <v>124</v>
      </c>
      <c r="D50" s="183" t="s">
        <v>285</v>
      </c>
      <c r="E50" s="182" t="str">
        <f t="shared" si="29"/>
        <v>Ka. Bagian</v>
      </c>
      <c r="F50" s="183">
        <f t="shared" si="30"/>
        <v>1980</v>
      </c>
      <c r="G50" s="216">
        <f t="shared" si="31"/>
        <v>29</v>
      </c>
      <c r="H50" s="182" t="str">
        <f t="shared" si="22"/>
        <v>Kawin</v>
      </c>
      <c r="I50" s="179">
        <f t="shared" si="23"/>
        <v>12000000</v>
      </c>
      <c r="J50" s="180">
        <f t="shared" si="24"/>
        <v>480000</v>
      </c>
      <c r="K50" s="180">
        <f t="shared" si="25"/>
        <v>360000</v>
      </c>
      <c r="L50" s="180">
        <f t="shared" si="26"/>
        <v>240000</v>
      </c>
      <c r="M50" s="180">
        <f t="shared" si="27"/>
        <v>600000</v>
      </c>
      <c r="N50" s="212">
        <f t="shared" si="28"/>
        <v>3000000</v>
      </c>
      <c r="O50" s="180">
        <f>SUM(I50:N50)</f>
        <v>16680000</v>
      </c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4">
        <f>10%*O50</f>
        <v>1668000</v>
      </c>
      <c r="AA50" s="184"/>
      <c r="AB50" s="184">
        <f>O50-Z50</f>
        <v>15012000</v>
      </c>
      <c r="AC50" s="185" t="str">
        <f>IF(RIGHT(B50,1)="K","Kontrak",IF(RIGHT(B50,1)="T","Tetap","Mutasi"))</f>
        <v>Tetap</v>
      </c>
    </row>
    <row r="51" spans="1:29" ht="12.95" customHeight="1" thickBot="1" x14ac:dyDescent="0.35">
      <c r="A51" s="181">
        <v>4</v>
      </c>
      <c r="B51" s="182" t="s">
        <v>286</v>
      </c>
      <c r="C51" s="182" t="s">
        <v>287</v>
      </c>
      <c r="D51" s="183" t="s">
        <v>288</v>
      </c>
      <c r="E51" s="182" t="str">
        <f t="shared" si="29"/>
        <v>Staff</v>
      </c>
      <c r="F51" s="183">
        <f t="shared" si="30"/>
        <v>1979</v>
      </c>
      <c r="G51" s="216">
        <f t="shared" si="31"/>
        <v>30</v>
      </c>
      <c r="H51" s="182" t="str">
        <f t="shared" si="22"/>
        <v>Kawin</v>
      </c>
      <c r="I51" s="179">
        <f t="shared" si="23"/>
        <v>6500000</v>
      </c>
      <c r="J51" s="180">
        <f t="shared" si="24"/>
        <v>130000</v>
      </c>
      <c r="K51" s="180">
        <f t="shared" si="25"/>
        <v>195000</v>
      </c>
      <c r="L51" s="180">
        <f t="shared" si="26"/>
        <v>130000</v>
      </c>
      <c r="M51" s="180">
        <f t="shared" si="27"/>
        <v>325000</v>
      </c>
      <c r="N51" s="212">
        <f t="shared" si="28"/>
        <v>1625000</v>
      </c>
      <c r="O51" s="180">
        <f>SUM(I51:N51)</f>
        <v>8905000</v>
      </c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4">
        <f>10%*O51</f>
        <v>890500</v>
      </c>
      <c r="AA51" s="184"/>
      <c r="AB51" s="184">
        <f>O51-Z51</f>
        <v>8014500</v>
      </c>
      <c r="AC51" s="185" t="str">
        <f>IF(RIGHT(B51,1)="K","Kontrak",IF(RIGHT(B51,1)="T","Tetap","Mutasi"))</f>
        <v>Mutasi</v>
      </c>
    </row>
    <row r="52" spans="1:29" ht="12.95" customHeight="1" thickBot="1" x14ac:dyDescent="0.35">
      <c r="A52" s="181">
        <v>5</v>
      </c>
      <c r="B52" s="182" t="s">
        <v>289</v>
      </c>
      <c r="C52" s="182" t="s">
        <v>290</v>
      </c>
      <c r="D52" s="183" t="s">
        <v>280</v>
      </c>
      <c r="E52" s="182" t="str">
        <f t="shared" si="29"/>
        <v>Pres. Direktur</v>
      </c>
      <c r="F52" s="183">
        <f t="shared" si="30"/>
        <v>1981</v>
      </c>
      <c r="G52" s="216">
        <f t="shared" si="31"/>
        <v>28</v>
      </c>
      <c r="H52" s="182" t="str">
        <f t="shared" si="22"/>
        <v>Blm Kawin</v>
      </c>
      <c r="I52" s="179">
        <f t="shared" si="23"/>
        <v>27000000</v>
      </c>
      <c r="J52" s="180">
        <f t="shared" si="24"/>
        <v>1350000</v>
      </c>
      <c r="K52" s="180">
        <f t="shared" si="25"/>
        <v>0</v>
      </c>
      <c r="L52" s="180">
        <f t="shared" si="26"/>
        <v>0</v>
      </c>
      <c r="M52" s="180">
        <f t="shared" si="27"/>
        <v>0</v>
      </c>
      <c r="N52" s="212">
        <f t="shared" si="28"/>
        <v>6750000</v>
      </c>
      <c r="O52" s="180">
        <f>SUM(I52:N52)</f>
        <v>35100000</v>
      </c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4">
        <f>10%*O52</f>
        <v>3510000</v>
      </c>
      <c r="AA52" s="184"/>
      <c r="AB52" s="184">
        <f>O52-Z52</f>
        <v>31590000</v>
      </c>
      <c r="AC52" s="185" t="str">
        <f>IF(RIGHT(B52,1)="K","Kontrak",IF(RIGHT(B52,1)="T","Tetap","Mutasi"))</f>
        <v>Mutasi</v>
      </c>
    </row>
    <row r="53" spans="1:29" ht="12.95" customHeight="1" thickBot="1" x14ac:dyDescent="0.35">
      <c r="A53" s="181">
        <v>6</v>
      </c>
      <c r="B53" s="182" t="s">
        <v>291</v>
      </c>
      <c r="C53" s="182" t="s">
        <v>292</v>
      </c>
      <c r="D53" s="183" t="s">
        <v>288</v>
      </c>
      <c r="E53" s="182" t="str">
        <f t="shared" si="29"/>
        <v>Administrasi</v>
      </c>
      <c r="F53" s="183">
        <f t="shared" si="30"/>
        <v>1984</v>
      </c>
      <c r="G53" s="216">
        <f t="shared" si="31"/>
        <v>25</v>
      </c>
      <c r="H53" s="182" t="str">
        <f t="shared" si="22"/>
        <v>Blm Kawin</v>
      </c>
      <c r="I53" s="179">
        <f t="shared" si="23"/>
        <v>8000000</v>
      </c>
      <c r="J53" s="180">
        <f t="shared" si="24"/>
        <v>240000</v>
      </c>
      <c r="K53" s="180">
        <f t="shared" si="25"/>
        <v>0</v>
      </c>
      <c r="L53" s="180">
        <f t="shared" si="26"/>
        <v>0</v>
      </c>
      <c r="M53" s="180">
        <f t="shared" si="27"/>
        <v>0</v>
      </c>
      <c r="N53" s="212">
        <f t="shared" si="28"/>
        <v>2000000</v>
      </c>
      <c r="O53" s="180">
        <f>SUM(I53:N53)</f>
        <v>10240000</v>
      </c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4">
        <f>10%*O53</f>
        <v>1024000</v>
      </c>
      <c r="AA53" s="184"/>
      <c r="AB53" s="184">
        <f>O53-Z53</f>
        <v>9216000</v>
      </c>
      <c r="AC53" s="185" t="str">
        <f>IF(RIGHT(B53,1)="K","Kontrak",IF(RIGHT(B53,1)="T","Tetap","Mutasi"))</f>
        <v>Kontrak</v>
      </c>
    </row>
    <row r="54" spans="1:29" ht="12.95" customHeight="1" thickBot="1" x14ac:dyDescent="0.35">
      <c r="A54" s="181">
        <v>7</v>
      </c>
      <c r="B54" s="182" t="s">
        <v>293</v>
      </c>
      <c r="C54" s="182" t="s">
        <v>294</v>
      </c>
      <c r="D54" s="183" t="s">
        <v>283</v>
      </c>
      <c r="E54" s="182" t="str">
        <f t="shared" si="29"/>
        <v>Administrasi</v>
      </c>
      <c r="F54" s="183">
        <f t="shared" si="30"/>
        <v>1980</v>
      </c>
      <c r="G54" s="216">
        <f t="shared" si="31"/>
        <v>29</v>
      </c>
      <c r="H54" s="182" t="str">
        <f t="shared" si="22"/>
        <v>Kawin</v>
      </c>
      <c r="I54" s="179">
        <f t="shared" si="23"/>
        <v>5000000</v>
      </c>
      <c r="J54" s="180">
        <f t="shared" si="24"/>
        <v>150000</v>
      </c>
      <c r="K54" s="180">
        <f t="shared" si="25"/>
        <v>150000</v>
      </c>
      <c r="L54" s="180">
        <f t="shared" si="26"/>
        <v>100000</v>
      </c>
      <c r="M54" s="180">
        <f t="shared" si="27"/>
        <v>250000</v>
      </c>
      <c r="N54" s="212">
        <f t="shared" si="28"/>
        <v>1250000</v>
      </c>
      <c r="O54" s="180">
        <f>SUM(I54:N54)</f>
        <v>6900000</v>
      </c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4">
        <f>10%*O54</f>
        <v>690000</v>
      </c>
      <c r="AA54" s="184"/>
      <c r="AB54" s="184">
        <f>O54-Z54</f>
        <v>6210000</v>
      </c>
      <c r="AC54" s="185" t="str">
        <f>IF(RIGHT(B54,1)="K","Kontrak",IF(RIGHT(B54,1)="T","Tetap","Mutasi"))</f>
        <v>Mutasi</v>
      </c>
    </row>
    <row r="55" spans="1:29" ht="12.95" customHeight="1" thickBot="1" x14ac:dyDescent="0.35">
      <c r="A55" s="181">
        <v>8</v>
      </c>
      <c r="B55" s="182" t="s">
        <v>295</v>
      </c>
      <c r="C55" s="182" t="s">
        <v>296</v>
      </c>
      <c r="D55" s="183" t="s">
        <v>285</v>
      </c>
      <c r="E55" s="182" t="str">
        <f t="shared" si="29"/>
        <v>Staff</v>
      </c>
      <c r="F55" s="183">
        <f t="shared" si="30"/>
        <v>1990</v>
      </c>
      <c r="G55" s="216">
        <f t="shared" si="31"/>
        <v>19</v>
      </c>
      <c r="H55" s="182" t="str">
        <f t="shared" si="22"/>
        <v>Blm Kawin</v>
      </c>
      <c r="I55" s="179">
        <f t="shared" si="23"/>
        <v>5500000</v>
      </c>
      <c r="J55" s="180">
        <f t="shared" si="24"/>
        <v>110000</v>
      </c>
      <c r="K55" s="180">
        <f t="shared" si="25"/>
        <v>0</v>
      </c>
      <c r="L55" s="180">
        <f t="shared" si="26"/>
        <v>0</v>
      </c>
      <c r="M55" s="180">
        <f t="shared" si="27"/>
        <v>0</v>
      </c>
      <c r="N55" s="212">
        <f t="shared" si="28"/>
        <v>0</v>
      </c>
      <c r="O55" s="180">
        <f>SUM(I55:N55)</f>
        <v>5610000</v>
      </c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4">
        <f>10%*O55</f>
        <v>561000</v>
      </c>
      <c r="AA55" s="184"/>
      <c r="AB55" s="184">
        <f>O55-Z55</f>
        <v>5049000</v>
      </c>
      <c r="AC55" s="185" t="str">
        <f>IF(RIGHT(B55,1)="K","Kontrak",IF(RIGHT(B55,1)="T","Tetap","Mutasi"))</f>
        <v>Kontrak</v>
      </c>
    </row>
    <row r="56" spans="1:29" ht="12.95" customHeight="1" thickBot="1" x14ac:dyDescent="0.35">
      <c r="A56" s="181">
        <v>9</v>
      </c>
      <c r="B56" s="182" t="s">
        <v>297</v>
      </c>
      <c r="C56" s="182" t="s">
        <v>298</v>
      </c>
      <c r="D56" s="183" t="s">
        <v>280</v>
      </c>
      <c r="E56" s="182" t="str">
        <f t="shared" si="29"/>
        <v>Ka. Bagian</v>
      </c>
      <c r="F56" s="183">
        <f t="shared" si="30"/>
        <v>1987</v>
      </c>
      <c r="G56" s="216">
        <f t="shared" si="31"/>
        <v>22</v>
      </c>
      <c r="H56" s="182" t="str">
        <f t="shared" si="22"/>
        <v>Kawin</v>
      </c>
      <c r="I56" s="179">
        <f t="shared" si="23"/>
        <v>15000000</v>
      </c>
      <c r="J56" s="180">
        <f t="shared" si="24"/>
        <v>600000</v>
      </c>
      <c r="K56" s="180">
        <f t="shared" si="25"/>
        <v>450000</v>
      </c>
      <c r="L56" s="180">
        <f t="shared" si="26"/>
        <v>300000</v>
      </c>
      <c r="M56" s="180">
        <f t="shared" si="27"/>
        <v>750000</v>
      </c>
      <c r="N56" s="212">
        <f t="shared" si="28"/>
        <v>3750000</v>
      </c>
      <c r="O56" s="180">
        <f>SUM(I56:N56)</f>
        <v>20850000</v>
      </c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4">
        <f>10%*O56</f>
        <v>2085000</v>
      </c>
      <c r="AA56" s="184"/>
      <c r="AB56" s="184">
        <f>O56-Z56</f>
        <v>18765000</v>
      </c>
      <c r="AC56" s="185" t="str">
        <f>IF(RIGHT(B56,1)="K","Kontrak",IF(RIGHT(B56,1)="T","Tetap","Mutasi"))</f>
        <v>Tetap</v>
      </c>
    </row>
    <row r="57" spans="1:29" ht="12.95" customHeight="1" thickBot="1" x14ac:dyDescent="0.35">
      <c r="A57" s="186">
        <v>10</v>
      </c>
      <c r="B57" s="187" t="s">
        <v>299</v>
      </c>
      <c r="C57" s="187" t="s">
        <v>300</v>
      </c>
      <c r="D57" s="188" t="s">
        <v>285</v>
      </c>
      <c r="E57" s="187" t="str">
        <f t="shared" si="29"/>
        <v>Staff</v>
      </c>
      <c r="F57" s="188">
        <f t="shared" si="30"/>
        <v>1992</v>
      </c>
      <c r="G57" s="216">
        <f t="shared" si="31"/>
        <v>17</v>
      </c>
      <c r="H57" s="187" t="str">
        <f t="shared" si="22"/>
        <v>Kawin</v>
      </c>
      <c r="I57" s="219">
        <f t="shared" si="23"/>
        <v>5500000</v>
      </c>
      <c r="J57" s="213">
        <f t="shared" si="24"/>
        <v>110000</v>
      </c>
      <c r="K57" s="213">
        <f t="shared" si="25"/>
        <v>165000</v>
      </c>
      <c r="L57" s="213">
        <f t="shared" si="26"/>
        <v>110000</v>
      </c>
      <c r="M57" s="189">
        <v>0</v>
      </c>
      <c r="N57" s="212">
        <f t="shared" si="28"/>
        <v>0</v>
      </c>
      <c r="O57" s="213">
        <f>SUM(I57:N57)</f>
        <v>5885000</v>
      </c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189">
        <f>10%*O57</f>
        <v>588500</v>
      </c>
      <c r="AA57" s="189"/>
      <c r="AB57" s="189">
        <f>O57-Z57</f>
        <v>5296500</v>
      </c>
      <c r="AC57" s="190" t="str">
        <f>IF(RIGHT(B57,1)="K","Kontrak",IF(RIGHT(B57,1)="T","Tetap","Mutasi"))</f>
        <v>Tetap</v>
      </c>
    </row>
  </sheetData>
  <mergeCells count="42">
    <mergeCell ref="H46:H47"/>
    <mergeCell ref="P6:S6"/>
    <mergeCell ref="V6:V7"/>
    <mergeCell ref="AA6:AA7"/>
    <mergeCell ref="G6:G7"/>
    <mergeCell ref="H6:H7"/>
    <mergeCell ref="O6:O7"/>
    <mergeCell ref="N6:N7"/>
    <mergeCell ref="I6:I7"/>
    <mergeCell ref="J6:M6"/>
    <mergeCell ref="A1:B1"/>
    <mergeCell ref="AC46:AC47"/>
    <mergeCell ref="I46:I47"/>
    <mergeCell ref="J46:M46"/>
    <mergeCell ref="N46:N47"/>
    <mergeCell ref="O46:O47"/>
    <mergeCell ref="C46:C47"/>
    <mergeCell ref="D46:D47"/>
    <mergeCell ref="B46:B47"/>
    <mergeCell ref="Z6:Z7"/>
    <mergeCell ref="AC6:AC7"/>
    <mergeCell ref="A40:B40"/>
    <mergeCell ref="Z46:Z47"/>
    <mergeCell ref="AB46:AB47"/>
    <mergeCell ref="E46:E47"/>
    <mergeCell ref="F46:F47"/>
    <mergeCell ref="A46:A47"/>
    <mergeCell ref="AB6:AB7"/>
    <mergeCell ref="X6:X7"/>
    <mergeCell ref="Y6:Y7"/>
    <mergeCell ref="W6:W7"/>
    <mergeCell ref="A6:A7"/>
    <mergeCell ref="B6:B7"/>
    <mergeCell ref="C6:C7"/>
    <mergeCell ref="D6:D7"/>
    <mergeCell ref="B20:B21"/>
    <mergeCell ref="C20:F20"/>
    <mergeCell ref="E6:E7"/>
    <mergeCell ref="F6:F7"/>
    <mergeCell ref="G46:G47"/>
    <mergeCell ref="T6:T7"/>
    <mergeCell ref="U6:U7"/>
  </mergeCells>
  <phoneticPr fontId="1" type="noConversion"/>
  <pageMargins left="0.39370078740157483" right="0.39370078740157483" top="0.39370078740157483" bottom="0.39370078740157483" header="0.51181102362204722" footer="0.51181102362204722"/>
  <pageSetup paperSize="9" scale="85" orientation="landscape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Lat1</vt:lpstr>
      <vt:lpstr>Lat2</vt:lpstr>
      <vt:lpstr>Lat3</vt:lpstr>
      <vt:lpstr>Lat4</vt:lpstr>
      <vt:lpstr>Lat5</vt:lpstr>
      <vt:lpstr>Lat6</vt:lpstr>
      <vt:lpstr>Lat7</vt:lpstr>
      <vt:lpstr>Lat8</vt:lpstr>
      <vt:lpstr>Lat9</vt:lpstr>
      <vt:lpstr>Lat10</vt:lpstr>
      <vt:lpstr>Lat11</vt:lpstr>
      <vt:lpstr>Lat12</vt:lpstr>
    </vt:vector>
  </TitlesOfParts>
  <Company>Voucherkey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Adjat</dc:creator>
  <cp:lastModifiedBy>Dasep Samsul</cp:lastModifiedBy>
  <cp:lastPrinted>2006-02-14T23:16:13Z</cp:lastPrinted>
  <dcterms:created xsi:type="dcterms:W3CDTF">2006-02-02T01:53:55Z</dcterms:created>
  <dcterms:modified xsi:type="dcterms:W3CDTF">2026-05-12T05:08:56Z</dcterms:modified>
</cp:coreProperties>
</file>